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/Developer/pokegoldCHS/src/xlsx/"/>
    </mc:Choice>
  </mc:AlternateContent>
  <xr:revisionPtr revIDLastSave="0" documentId="13_ncr:1_{B8F1E245-C52A-564B-B9C1-206BE3FD814B}" xr6:coauthVersionLast="47" xr6:coauthVersionMax="47" xr10:uidLastSave="{00000000-0000-0000-0000-000000000000}"/>
  <bookViews>
    <workbookView xWindow="6100" yWindow="760" windowWidth="30720" windowHeight="28620" xr2:uid="{00000000-000D-0000-FFFF-FFFF00000000}"/>
  </bookViews>
  <sheets>
    <sheet name="工作表 2 - pkmndes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4" i="4" l="1"/>
  <c r="H853" i="4"/>
  <c r="H839" i="4"/>
  <c r="H658" i="4"/>
  <c r="I658" i="4" s="1"/>
  <c r="H288" i="4"/>
  <c r="I288" i="4" s="1"/>
  <c r="H206" i="4"/>
  <c r="I206" i="4" s="1"/>
  <c r="R1256" i="4"/>
  <c r="S1256" i="4" s="1"/>
  <c r="H1256" i="4"/>
  <c r="I1256" i="4" s="1"/>
  <c r="R1255" i="4"/>
  <c r="S1255" i="4" s="1"/>
  <c r="H1255" i="4"/>
  <c r="B1255" i="4" s="1"/>
  <c r="R1254" i="4"/>
  <c r="S1254" i="4" s="1"/>
  <c r="H1254" i="4"/>
  <c r="I1254" i="4" s="1"/>
  <c r="R1253" i="4"/>
  <c r="H1253" i="4"/>
  <c r="R1251" i="4"/>
  <c r="S1251" i="4" s="1"/>
  <c r="H1251" i="4"/>
  <c r="R1250" i="4"/>
  <c r="S1250" i="4" s="1"/>
  <c r="H1250" i="4"/>
  <c r="I1250" i="4" s="1"/>
  <c r="R1249" i="4"/>
  <c r="H1249" i="4"/>
  <c r="I1249" i="4" s="1"/>
  <c r="R1248" i="4"/>
  <c r="S1248" i="4" s="1"/>
  <c r="H1248" i="4"/>
  <c r="R1246" i="4"/>
  <c r="S1246" i="4" s="1"/>
  <c r="H1246" i="4"/>
  <c r="I1246" i="4" s="1"/>
  <c r="R1245" i="4"/>
  <c r="H1245" i="4"/>
  <c r="I1245" i="4" s="1"/>
  <c r="R1244" i="4"/>
  <c r="S1244" i="4" s="1"/>
  <c r="H1244" i="4"/>
  <c r="R1243" i="4"/>
  <c r="S1243" i="4" s="1"/>
  <c r="H1243" i="4"/>
  <c r="I1243" i="4" s="1"/>
  <c r="R1241" i="4"/>
  <c r="H1241" i="4"/>
  <c r="I1241" i="4" s="1"/>
  <c r="R1240" i="4"/>
  <c r="S1240" i="4" s="1"/>
  <c r="H1240" i="4"/>
  <c r="R1239" i="4"/>
  <c r="S1239" i="4" s="1"/>
  <c r="H1239" i="4"/>
  <c r="I1239" i="4" s="1"/>
  <c r="R1238" i="4"/>
  <c r="H1238" i="4"/>
  <c r="I1238" i="4" s="1"/>
  <c r="R1236" i="4"/>
  <c r="S1236" i="4" s="1"/>
  <c r="H1236" i="4"/>
  <c r="I1236" i="4" s="1"/>
  <c r="R1235" i="4"/>
  <c r="S1235" i="4" s="1"/>
  <c r="H1235" i="4"/>
  <c r="I1235" i="4" s="1"/>
  <c r="R1234" i="4"/>
  <c r="S1234" i="4" s="1"/>
  <c r="H1234" i="4"/>
  <c r="I1234" i="4" s="1"/>
  <c r="R1233" i="4"/>
  <c r="S1233" i="4" s="1"/>
  <c r="H1233" i="4"/>
  <c r="I1233" i="4" s="1"/>
  <c r="R1231" i="4"/>
  <c r="S1231" i="4" s="1"/>
  <c r="H1231" i="4"/>
  <c r="R1230" i="4"/>
  <c r="S1230" i="4" s="1"/>
  <c r="H1230" i="4"/>
  <c r="I1230" i="4" s="1"/>
  <c r="R1229" i="4"/>
  <c r="H1229" i="4"/>
  <c r="I1229" i="4" s="1"/>
  <c r="R1228" i="4"/>
  <c r="S1228" i="4" s="1"/>
  <c r="H1228" i="4"/>
  <c r="R1226" i="4"/>
  <c r="S1226" i="4" s="1"/>
  <c r="H1226" i="4"/>
  <c r="I1226" i="4" s="1"/>
  <c r="R1225" i="4"/>
  <c r="H1225" i="4"/>
  <c r="I1225" i="4" s="1"/>
  <c r="R1224" i="4"/>
  <c r="S1224" i="4" s="1"/>
  <c r="H1224" i="4"/>
  <c r="R1223" i="4"/>
  <c r="S1223" i="4" s="1"/>
  <c r="H1223" i="4"/>
  <c r="I1223" i="4" s="1"/>
  <c r="R1221" i="4"/>
  <c r="H1221" i="4"/>
  <c r="I1221" i="4" s="1"/>
  <c r="R1220" i="4"/>
  <c r="S1220" i="4" s="1"/>
  <c r="H1220" i="4"/>
  <c r="I1220" i="4" s="1"/>
  <c r="R1219" i="4"/>
  <c r="S1219" i="4" s="1"/>
  <c r="H1219" i="4"/>
  <c r="I1219" i="4" s="1"/>
  <c r="R1218" i="4"/>
  <c r="H1218" i="4"/>
  <c r="I1218" i="4" s="1"/>
  <c r="R1216" i="4"/>
  <c r="S1216" i="4" s="1"/>
  <c r="H1216" i="4"/>
  <c r="R1215" i="4"/>
  <c r="S1215" i="4" s="1"/>
  <c r="H1215" i="4"/>
  <c r="I1215" i="4" s="1"/>
  <c r="R1214" i="4"/>
  <c r="H1214" i="4"/>
  <c r="I1214" i="4" s="1"/>
  <c r="R1213" i="4"/>
  <c r="S1213" i="4" s="1"/>
  <c r="H1213" i="4"/>
  <c r="R1211" i="4"/>
  <c r="S1211" i="4" s="1"/>
  <c r="H1211" i="4"/>
  <c r="I1211" i="4" s="1"/>
  <c r="R1210" i="4"/>
  <c r="H1210" i="4"/>
  <c r="I1210" i="4" s="1"/>
  <c r="R1209" i="4"/>
  <c r="S1209" i="4" s="1"/>
  <c r="H1209" i="4"/>
  <c r="R1208" i="4"/>
  <c r="S1208" i="4" s="1"/>
  <c r="H1208" i="4"/>
  <c r="I1208" i="4" s="1"/>
  <c r="R1206" i="4"/>
  <c r="H1206" i="4"/>
  <c r="I1206" i="4" s="1"/>
  <c r="R1205" i="4"/>
  <c r="S1205" i="4" s="1"/>
  <c r="H1205" i="4"/>
  <c r="I1205" i="4" s="1"/>
  <c r="R1204" i="4"/>
  <c r="H1204" i="4"/>
  <c r="I1204" i="4" s="1"/>
  <c r="R1203" i="4"/>
  <c r="H1203" i="4"/>
  <c r="I1203" i="4" s="1"/>
  <c r="R1201" i="4"/>
  <c r="H1201" i="4"/>
  <c r="I1201" i="4" s="1"/>
  <c r="R1200" i="4"/>
  <c r="S1200" i="4" s="1"/>
  <c r="H1200" i="4"/>
  <c r="I1200" i="4" s="1"/>
  <c r="R1199" i="4"/>
  <c r="H1199" i="4"/>
  <c r="I1199" i="4" s="1"/>
  <c r="R1198" i="4"/>
  <c r="S1198" i="4" s="1"/>
  <c r="H1198" i="4"/>
  <c r="I1198" i="4" s="1"/>
  <c r="R1196" i="4"/>
  <c r="H1196" i="4"/>
  <c r="B1196" i="4" s="1"/>
  <c r="R1195" i="4"/>
  <c r="S1195" i="4" s="1"/>
  <c r="H1195" i="4"/>
  <c r="B1195" i="4" s="1"/>
  <c r="R1194" i="4"/>
  <c r="H1194" i="4"/>
  <c r="B1194" i="4" s="1"/>
  <c r="R1193" i="4"/>
  <c r="S1193" i="4" s="1"/>
  <c r="H1193" i="4"/>
  <c r="R1191" i="4"/>
  <c r="H1191" i="4"/>
  <c r="I1191" i="4" s="1"/>
  <c r="R1190" i="4"/>
  <c r="S1190" i="4" s="1"/>
  <c r="H1190" i="4"/>
  <c r="R1189" i="4"/>
  <c r="S1189" i="4" s="1"/>
  <c r="H1189" i="4"/>
  <c r="I1189" i="4" s="1"/>
  <c r="R1188" i="4"/>
  <c r="H1188" i="4"/>
  <c r="I1188" i="4" s="1"/>
  <c r="R1186" i="4"/>
  <c r="S1186" i="4" s="1"/>
  <c r="H1186" i="4"/>
  <c r="R1185" i="4"/>
  <c r="S1185" i="4" s="1"/>
  <c r="H1185" i="4"/>
  <c r="I1185" i="4" s="1"/>
  <c r="R1184" i="4"/>
  <c r="H1184" i="4"/>
  <c r="I1184" i="4" s="1"/>
  <c r="R1183" i="4"/>
  <c r="S1183" i="4" s="1"/>
  <c r="H1183" i="4"/>
  <c r="R1181" i="4"/>
  <c r="S1181" i="4" s="1"/>
  <c r="H1181" i="4"/>
  <c r="I1181" i="4" s="1"/>
  <c r="R1180" i="4"/>
  <c r="H1180" i="4"/>
  <c r="I1180" i="4" s="1"/>
  <c r="R1179" i="4"/>
  <c r="S1179" i="4" s="1"/>
  <c r="H1179" i="4"/>
  <c r="R1178" i="4"/>
  <c r="S1178" i="4" s="1"/>
  <c r="H1178" i="4"/>
  <c r="I1178" i="4" s="1"/>
  <c r="R1176" i="4"/>
  <c r="H1176" i="4"/>
  <c r="I1176" i="4" s="1"/>
  <c r="R1175" i="4"/>
  <c r="S1175" i="4" s="1"/>
  <c r="H1175" i="4"/>
  <c r="I1175" i="4" s="1"/>
  <c r="R1174" i="4"/>
  <c r="S1174" i="4" s="1"/>
  <c r="H1174" i="4"/>
  <c r="I1174" i="4" s="1"/>
  <c r="R1173" i="4"/>
  <c r="S1173" i="4" s="1"/>
  <c r="H1173" i="4"/>
  <c r="I1173" i="4" s="1"/>
  <c r="R1171" i="4"/>
  <c r="S1171" i="4" s="1"/>
  <c r="H1171" i="4"/>
  <c r="I1171" i="4" s="1"/>
  <c r="R1170" i="4"/>
  <c r="S1170" i="4" s="1"/>
  <c r="H1170" i="4"/>
  <c r="I1170" i="4" s="1"/>
  <c r="R1169" i="4"/>
  <c r="S1169" i="4" s="1"/>
  <c r="H1169" i="4"/>
  <c r="I1169" i="4" s="1"/>
  <c r="R1168" i="4"/>
  <c r="H1168" i="4"/>
  <c r="I1168" i="4" s="1"/>
  <c r="R1166" i="4"/>
  <c r="S1166" i="4" s="1"/>
  <c r="H1166" i="4"/>
  <c r="I1166" i="4" s="1"/>
  <c r="R1165" i="4"/>
  <c r="S1165" i="4" s="1"/>
  <c r="H1165" i="4"/>
  <c r="I1165" i="4" s="1"/>
  <c r="R1164" i="4"/>
  <c r="S1164" i="4" s="1"/>
  <c r="H1164" i="4"/>
  <c r="I1164" i="4" s="1"/>
  <c r="R1163" i="4"/>
  <c r="S1163" i="4" s="1"/>
  <c r="H1163" i="4"/>
  <c r="I1163" i="4" s="1"/>
  <c r="R1161" i="4"/>
  <c r="S1161" i="4" s="1"/>
  <c r="H1161" i="4"/>
  <c r="B1161" i="4" s="1"/>
  <c r="R1160" i="4"/>
  <c r="H1160" i="4"/>
  <c r="I1160" i="4" s="1"/>
  <c r="R1159" i="4"/>
  <c r="H1159" i="4"/>
  <c r="R1158" i="4"/>
  <c r="S1158" i="4" s="1"/>
  <c r="H1158" i="4"/>
  <c r="I1158" i="4" s="1"/>
  <c r="R1156" i="4"/>
  <c r="H1156" i="4"/>
  <c r="R1155" i="4"/>
  <c r="S1155" i="4" s="1"/>
  <c r="H1155" i="4"/>
  <c r="R1154" i="4"/>
  <c r="H1154" i="4"/>
  <c r="R1153" i="4"/>
  <c r="L1153" i="4" s="1"/>
  <c r="H1153" i="4"/>
  <c r="I1153" i="4" s="1"/>
  <c r="R1151" i="4"/>
  <c r="S1151" i="4" s="1"/>
  <c r="H1151" i="4"/>
  <c r="R1150" i="4"/>
  <c r="S1150" i="4" s="1"/>
  <c r="H1150" i="4"/>
  <c r="R1149" i="4"/>
  <c r="S1149" i="4" s="1"/>
  <c r="H1149" i="4"/>
  <c r="I1149" i="4" s="1"/>
  <c r="R1148" i="4"/>
  <c r="S1148" i="4" s="1"/>
  <c r="H1148" i="4"/>
  <c r="R1146" i="4"/>
  <c r="H1146" i="4"/>
  <c r="R1145" i="4"/>
  <c r="H1145" i="4"/>
  <c r="R1144" i="4"/>
  <c r="H1144" i="4"/>
  <c r="R1143" i="4"/>
  <c r="H1143" i="4"/>
  <c r="R1141" i="4"/>
  <c r="H1141" i="4"/>
  <c r="R1140" i="4"/>
  <c r="H1140" i="4"/>
  <c r="R1139" i="4"/>
  <c r="H1139" i="4"/>
  <c r="R1138" i="4"/>
  <c r="H1138" i="4"/>
  <c r="R1136" i="4"/>
  <c r="H1136" i="4"/>
  <c r="I1136" i="4" s="1"/>
  <c r="R1135" i="4"/>
  <c r="H1135" i="4"/>
  <c r="I1135" i="4" s="1"/>
  <c r="R1134" i="4"/>
  <c r="H1134" i="4"/>
  <c r="I1134" i="4" s="1"/>
  <c r="R1133" i="4"/>
  <c r="S1133" i="4" s="1"/>
  <c r="H1133" i="4"/>
  <c r="I1133" i="4" s="1"/>
  <c r="R1131" i="4"/>
  <c r="H1131" i="4"/>
  <c r="R1130" i="4"/>
  <c r="H1130" i="4"/>
  <c r="R1129" i="4"/>
  <c r="H1129" i="4"/>
  <c r="R1128" i="4"/>
  <c r="H1128" i="4"/>
  <c r="R1126" i="4"/>
  <c r="H1126" i="4"/>
  <c r="R1125" i="4"/>
  <c r="H1125" i="4"/>
  <c r="R1124" i="4"/>
  <c r="H1124" i="4"/>
  <c r="R1123" i="4"/>
  <c r="H1123" i="4"/>
  <c r="R1121" i="4"/>
  <c r="H1121" i="4"/>
  <c r="R1120" i="4"/>
  <c r="H1120" i="4"/>
  <c r="R1119" i="4"/>
  <c r="H1119" i="4"/>
  <c r="R1118" i="4"/>
  <c r="H1118" i="4"/>
  <c r="R1116" i="4"/>
  <c r="H1116" i="4"/>
  <c r="R1115" i="4"/>
  <c r="H1115" i="4"/>
  <c r="R1114" i="4"/>
  <c r="H1114" i="4"/>
  <c r="I1114" i="4" s="1"/>
  <c r="R1113" i="4"/>
  <c r="H1113" i="4"/>
  <c r="R1111" i="4"/>
  <c r="S1111" i="4" s="1"/>
  <c r="H1111" i="4"/>
  <c r="R1110" i="4"/>
  <c r="H1110" i="4"/>
  <c r="I1110" i="4" s="1"/>
  <c r="R1109" i="4"/>
  <c r="H1109" i="4"/>
  <c r="R1108" i="4"/>
  <c r="S1108" i="4" s="1"/>
  <c r="H1108" i="4"/>
  <c r="R1106" i="4"/>
  <c r="H1106" i="4"/>
  <c r="I1106" i="4" s="1"/>
  <c r="R1105" i="4"/>
  <c r="H1105" i="4"/>
  <c r="R1104" i="4"/>
  <c r="S1104" i="4" s="1"/>
  <c r="H1104" i="4"/>
  <c r="R1103" i="4"/>
  <c r="H1103" i="4"/>
  <c r="I1103" i="4" s="1"/>
  <c r="R1101" i="4"/>
  <c r="H1101" i="4"/>
  <c r="R1100" i="4"/>
  <c r="S1100" i="4" s="1"/>
  <c r="H1100" i="4"/>
  <c r="R1099" i="4"/>
  <c r="H1099" i="4"/>
  <c r="I1099" i="4" s="1"/>
  <c r="R1098" i="4"/>
  <c r="H1098" i="4"/>
  <c r="R1096" i="4"/>
  <c r="S1096" i="4" s="1"/>
  <c r="H1096" i="4"/>
  <c r="R1095" i="4"/>
  <c r="H1095" i="4"/>
  <c r="I1095" i="4" s="1"/>
  <c r="R1094" i="4"/>
  <c r="H1094" i="4"/>
  <c r="R1093" i="4"/>
  <c r="S1093" i="4" s="1"/>
  <c r="H1093" i="4"/>
  <c r="R1091" i="4"/>
  <c r="H1091" i="4"/>
  <c r="I1091" i="4" s="1"/>
  <c r="R1090" i="4"/>
  <c r="H1090" i="4"/>
  <c r="R1089" i="4"/>
  <c r="S1089" i="4" s="1"/>
  <c r="H1089" i="4"/>
  <c r="R1088" i="4"/>
  <c r="H1088" i="4"/>
  <c r="I1088" i="4" s="1"/>
  <c r="R1086" i="4"/>
  <c r="H1086" i="4"/>
  <c r="R1085" i="4"/>
  <c r="S1085" i="4" s="1"/>
  <c r="H1085" i="4"/>
  <c r="R1084" i="4"/>
  <c r="I1084" i="4"/>
  <c r="B1084" i="4"/>
  <c r="R1083" i="4"/>
  <c r="H1083" i="4"/>
  <c r="R1081" i="4"/>
  <c r="S1081" i="4" s="1"/>
  <c r="H1081" i="4"/>
  <c r="I1081" i="4" s="1"/>
  <c r="R1080" i="4"/>
  <c r="H1080" i="4"/>
  <c r="I1080" i="4" s="1"/>
  <c r="R1079" i="4"/>
  <c r="S1079" i="4" s="1"/>
  <c r="H1079" i="4"/>
  <c r="R1078" i="4"/>
  <c r="H1078" i="4"/>
  <c r="I1078" i="4" s="1"/>
  <c r="R1076" i="4"/>
  <c r="H1076" i="4"/>
  <c r="B1076" i="4" s="1"/>
  <c r="R1075" i="4"/>
  <c r="S1075" i="4" s="1"/>
  <c r="H1075" i="4"/>
  <c r="I1075" i="4" s="1"/>
  <c r="R1074" i="4"/>
  <c r="H1074" i="4"/>
  <c r="I1074" i="4" s="1"/>
  <c r="R1073" i="4"/>
  <c r="H1073" i="4"/>
  <c r="B1073" i="4" s="1"/>
  <c r="R1071" i="4"/>
  <c r="S1071" i="4" s="1"/>
  <c r="H1071" i="4"/>
  <c r="I1071" i="4" s="1"/>
  <c r="R1070" i="4"/>
  <c r="S1070" i="4" s="1"/>
  <c r="H1070" i="4"/>
  <c r="B1070" i="4" s="1"/>
  <c r="R1069" i="4"/>
  <c r="S1069" i="4" s="1"/>
  <c r="H1069" i="4"/>
  <c r="I1069" i="4" s="1"/>
  <c r="R1068" i="4"/>
  <c r="S1068" i="4" s="1"/>
  <c r="H1068" i="4"/>
  <c r="I1068" i="4" s="1"/>
  <c r="R1066" i="4"/>
  <c r="S1066" i="4" s="1"/>
  <c r="H1066" i="4"/>
  <c r="R1065" i="4"/>
  <c r="H1065" i="4"/>
  <c r="R1064" i="4"/>
  <c r="H1064" i="4"/>
  <c r="R1063" i="4"/>
  <c r="S1063" i="4" s="1"/>
  <c r="H1063" i="4"/>
  <c r="I1063" i="4" s="1"/>
  <c r="R1061" i="4"/>
  <c r="H1061" i="4"/>
  <c r="I1061" i="4" s="1"/>
  <c r="R1060" i="4"/>
  <c r="S1060" i="4" s="1"/>
  <c r="H1060" i="4"/>
  <c r="R1059" i="4"/>
  <c r="H1059" i="4"/>
  <c r="I1059" i="4" s="1"/>
  <c r="R1058" i="4"/>
  <c r="H1058" i="4"/>
  <c r="I1058" i="4" s="1"/>
  <c r="R1056" i="4"/>
  <c r="H1056" i="4"/>
  <c r="I1056" i="4" s="1"/>
  <c r="R1055" i="4"/>
  <c r="H1055" i="4"/>
  <c r="B1055" i="4" s="1"/>
  <c r="R1054" i="4"/>
  <c r="S1054" i="4" s="1"/>
  <c r="H1054" i="4"/>
  <c r="B1054" i="4" s="1"/>
  <c r="R1053" i="4"/>
  <c r="S1053" i="4" s="1"/>
  <c r="H1053" i="4"/>
  <c r="B1053" i="4" s="1"/>
  <c r="R1051" i="4"/>
  <c r="S1051" i="4" s="1"/>
  <c r="H1051" i="4"/>
  <c r="I1051" i="4" s="1"/>
  <c r="R1050" i="4"/>
  <c r="H1050" i="4"/>
  <c r="I1050" i="4" s="1"/>
  <c r="R1049" i="4"/>
  <c r="S1049" i="4" s="1"/>
  <c r="H1049" i="4"/>
  <c r="I1049" i="4" s="1"/>
  <c r="R1048" i="4"/>
  <c r="H1048" i="4"/>
  <c r="I1048" i="4" s="1"/>
  <c r="R1046" i="4"/>
  <c r="S1046" i="4" s="1"/>
  <c r="H1046" i="4"/>
  <c r="B1046" i="4" s="1"/>
  <c r="R1045" i="4"/>
  <c r="S1045" i="4" s="1"/>
  <c r="H1045" i="4"/>
  <c r="R1044" i="4"/>
  <c r="H1044" i="4"/>
  <c r="I1044" i="4" s="1"/>
  <c r="R1043" i="4"/>
  <c r="H1043" i="4"/>
  <c r="B1043" i="4" s="1"/>
  <c r="R1041" i="4"/>
  <c r="S1041" i="4" s="1"/>
  <c r="H1041" i="4"/>
  <c r="I1041" i="4" s="1"/>
  <c r="R1040" i="4"/>
  <c r="S1040" i="4" s="1"/>
  <c r="H1040" i="4"/>
  <c r="I1040" i="4" s="1"/>
  <c r="R1039" i="4"/>
  <c r="H1039" i="4"/>
  <c r="I1039" i="4" s="1"/>
  <c r="R1038" i="4"/>
  <c r="S1038" i="4" s="1"/>
  <c r="H1038" i="4"/>
  <c r="R1036" i="4"/>
  <c r="S1036" i="4" s="1"/>
  <c r="H1036" i="4"/>
  <c r="I1036" i="4" s="1"/>
  <c r="R1035" i="4"/>
  <c r="H1035" i="4"/>
  <c r="I1035" i="4" s="1"/>
  <c r="R1034" i="4"/>
  <c r="S1034" i="4" s="1"/>
  <c r="H1034" i="4"/>
  <c r="I1034" i="4" s="1"/>
  <c r="R1033" i="4"/>
  <c r="S1033" i="4" s="1"/>
  <c r="H1033" i="4"/>
  <c r="I1033" i="4" s="1"/>
  <c r="R1031" i="4"/>
  <c r="S1031" i="4" s="1"/>
  <c r="H1031" i="4"/>
  <c r="I1031" i="4" s="1"/>
  <c r="R1030" i="4"/>
  <c r="H1030" i="4"/>
  <c r="I1030" i="4" s="1"/>
  <c r="R1029" i="4"/>
  <c r="S1029" i="4" s="1"/>
  <c r="H1029" i="4"/>
  <c r="R1028" i="4"/>
  <c r="S1028" i="4" s="1"/>
  <c r="H1028" i="4"/>
  <c r="I1028" i="4" s="1"/>
  <c r="R1026" i="4"/>
  <c r="H1026" i="4"/>
  <c r="I1026" i="4" s="1"/>
  <c r="R1025" i="4"/>
  <c r="S1025" i="4" s="1"/>
  <c r="L1025" i="4"/>
  <c r="H1025" i="4"/>
  <c r="I1025" i="4" s="1"/>
  <c r="R1024" i="4"/>
  <c r="H1024" i="4"/>
  <c r="I1024" i="4" s="1"/>
  <c r="R1023" i="4"/>
  <c r="S1023" i="4" s="1"/>
  <c r="H1023" i="4"/>
  <c r="I1023" i="4" s="1"/>
  <c r="R1021" i="4"/>
  <c r="H1021" i="4"/>
  <c r="I1021" i="4" s="1"/>
  <c r="R1020" i="4"/>
  <c r="S1020" i="4" s="1"/>
  <c r="H1020" i="4"/>
  <c r="I1020" i="4" s="1"/>
  <c r="R1019" i="4"/>
  <c r="H1019" i="4"/>
  <c r="I1019" i="4" s="1"/>
  <c r="R1018" i="4"/>
  <c r="S1018" i="4" s="1"/>
  <c r="H1018" i="4"/>
  <c r="I1018" i="4" s="1"/>
  <c r="R1016" i="4"/>
  <c r="H1016" i="4"/>
  <c r="I1016" i="4" s="1"/>
  <c r="R1015" i="4"/>
  <c r="S1015" i="4" s="1"/>
  <c r="H1015" i="4"/>
  <c r="R1014" i="4"/>
  <c r="S1014" i="4" s="1"/>
  <c r="H1014" i="4"/>
  <c r="I1014" i="4" s="1"/>
  <c r="R1013" i="4"/>
  <c r="H1013" i="4"/>
  <c r="I1013" i="4" s="1"/>
  <c r="R1011" i="4"/>
  <c r="S1011" i="4" s="1"/>
  <c r="H1011" i="4"/>
  <c r="B1011" i="4" s="1"/>
  <c r="R1010" i="4"/>
  <c r="S1010" i="4" s="1"/>
  <c r="H1010" i="4"/>
  <c r="R1009" i="4"/>
  <c r="H1009" i="4"/>
  <c r="B1009" i="4" s="1"/>
  <c r="R1008" i="4"/>
  <c r="H1008" i="4"/>
  <c r="B1008" i="4" s="1"/>
  <c r="R1006" i="4"/>
  <c r="H1006" i="4"/>
  <c r="I1006" i="4" s="1"/>
  <c r="R1005" i="4"/>
  <c r="S1005" i="4" s="1"/>
  <c r="H1005" i="4"/>
  <c r="I1005" i="4" s="1"/>
  <c r="R1004" i="4"/>
  <c r="H1004" i="4"/>
  <c r="B1004" i="4" s="1"/>
  <c r="R1003" i="4"/>
  <c r="S1003" i="4" s="1"/>
  <c r="H1003" i="4"/>
  <c r="R1001" i="4"/>
  <c r="S1001" i="4" s="1"/>
  <c r="H1001" i="4"/>
  <c r="R1000" i="4"/>
  <c r="H1000" i="4"/>
  <c r="I1000" i="4" s="1"/>
  <c r="R999" i="4"/>
  <c r="H999" i="4"/>
  <c r="R998" i="4"/>
  <c r="S998" i="4" s="1"/>
  <c r="H998" i="4"/>
  <c r="R996" i="4"/>
  <c r="H996" i="4"/>
  <c r="I996" i="4" s="1"/>
  <c r="R995" i="4"/>
  <c r="H995" i="4"/>
  <c r="I995" i="4" s="1"/>
  <c r="R994" i="4"/>
  <c r="H994" i="4"/>
  <c r="B994" i="4" s="1"/>
  <c r="R993" i="4"/>
  <c r="S993" i="4" s="1"/>
  <c r="H993" i="4"/>
  <c r="R991" i="4"/>
  <c r="H991" i="4"/>
  <c r="I991" i="4" s="1"/>
  <c r="R990" i="4"/>
  <c r="H990" i="4"/>
  <c r="I990" i="4" s="1"/>
  <c r="R989" i="4"/>
  <c r="H989" i="4"/>
  <c r="I989" i="4" s="1"/>
  <c r="R988" i="4"/>
  <c r="H988" i="4"/>
  <c r="I988" i="4" s="1"/>
  <c r="R986" i="4"/>
  <c r="S986" i="4" s="1"/>
  <c r="H986" i="4"/>
  <c r="I986" i="4" s="1"/>
  <c r="R985" i="4"/>
  <c r="H985" i="4"/>
  <c r="B985" i="4" s="1"/>
  <c r="R984" i="4"/>
  <c r="H984" i="4"/>
  <c r="I984" i="4" s="1"/>
  <c r="R983" i="4"/>
  <c r="H983" i="4"/>
  <c r="I983" i="4" s="1"/>
  <c r="R981" i="4"/>
  <c r="H981" i="4"/>
  <c r="B981" i="4" s="1"/>
  <c r="R980" i="4"/>
  <c r="S980" i="4" s="1"/>
  <c r="H980" i="4"/>
  <c r="R979" i="4"/>
  <c r="S979" i="4" s="1"/>
  <c r="H979" i="4"/>
  <c r="I979" i="4" s="1"/>
  <c r="R978" i="4"/>
  <c r="S978" i="4" s="1"/>
  <c r="H978" i="4"/>
  <c r="B978" i="4" s="1"/>
  <c r="R976" i="4"/>
  <c r="H976" i="4"/>
  <c r="I976" i="4" s="1"/>
  <c r="R975" i="4"/>
  <c r="S975" i="4" s="1"/>
  <c r="H975" i="4"/>
  <c r="I975" i="4" s="1"/>
  <c r="R974" i="4"/>
  <c r="H974" i="4"/>
  <c r="I974" i="4" s="1"/>
  <c r="R973" i="4"/>
  <c r="S973" i="4" s="1"/>
  <c r="H973" i="4"/>
  <c r="I973" i="4" s="1"/>
  <c r="R971" i="4"/>
  <c r="H971" i="4"/>
  <c r="R970" i="4"/>
  <c r="S970" i="4" s="1"/>
  <c r="H970" i="4"/>
  <c r="I970" i="4" s="1"/>
  <c r="R969" i="4"/>
  <c r="H969" i="4"/>
  <c r="I969" i="4" s="1"/>
  <c r="R968" i="4"/>
  <c r="H968" i="4"/>
  <c r="R966" i="4"/>
  <c r="H966" i="4"/>
  <c r="R965" i="4"/>
  <c r="H965" i="4"/>
  <c r="I965" i="4" s="1"/>
  <c r="R964" i="4"/>
  <c r="H964" i="4"/>
  <c r="R963" i="4"/>
  <c r="S963" i="4" s="1"/>
  <c r="H963" i="4"/>
  <c r="R961" i="4"/>
  <c r="H961" i="4"/>
  <c r="I961" i="4" s="1"/>
  <c r="R960" i="4"/>
  <c r="H960" i="4"/>
  <c r="R959" i="4"/>
  <c r="S959" i="4" s="1"/>
  <c r="H959" i="4"/>
  <c r="R958" i="4"/>
  <c r="H958" i="4"/>
  <c r="R956" i="4"/>
  <c r="H956" i="4"/>
  <c r="I956" i="4" s="1"/>
  <c r="R955" i="4"/>
  <c r="S955" i="4" s="1"/>
  <c r="H955" i="4"/>
  <c r="I955" i="4" s="1"/>
  <c r="R954" i="4"/>
  <c r="H954" i="4"/>
  <c r="I954" i="4" s="1"/>
  <c r="R953" i="4"/>
  <c r="S953" i="4" s="1"/>
  <c r="H953" i="4"/>
  <c r="I953" i="4" s="1"/>
  <c r="R951" i="4"/>
  <c r="H951" i="4"/>
  <c r="I951" i="4" s="1"/>
  <c r="R950" i="4"/>
  <c r="S950" i="4" s="1"/>
  <c r="H950" i="4"/>
  <c r="R949" i="4"/>
  <c r="H949" i="4"/>
  <c r="I949" i="4" s="1"/>
  <c r="R948" i="4"/>
  <c r="S948" i="4" s="1"/>
  <c r="H948" i="4"/>
  <c r="B948" i="4" s="1"/>
  <c r="R946" i="4"/>
  <c r="H946" i="4"/>
  <c r="I946" i="4" s="1"/>
  <c r="R945" i="4"/>
  <c r="S945" i="4" s="1"/>
  <c r="H945" i="4"/>
  <c r="I945" i="4" s="1"/>
  <c r="R944" i="4"/>
  <c r="H944" i="4"/>
  <c r="B944" i="4" s="1"/>
  <c r="R943" i="4"/>
  <c r="S943" i="4" s="1"/>
  <c r="H943" i="4"/>
  <c r="R941" i="4"/>
  <c r="H941" i="4"/>
  <c r="I941" i="4" s="1"/>
  <c r="R940" i="4"/>
  <c r="S940" i="4" s="1"/>
  <c r="H940" i="4"/>
  <c r="B940" i="4" s="1"/>
  <c r="R939" i="4"/>
  <c r="H939" i="4"/>
  <c r="I939" i="4" s="1"/>
  <c r="R938" i="4"/>
  <c r="H938" i="4"/>
  <c r="I938" i="4" s="1"/>
  <c r="R936" i="4"/>
  <c r="H936" i="4"/>
  <c r="B936" i="4" s="1"/>
  <c r="R935" i="4"/>
  <c r="S935" i="4" s="1"/>
  <c r="H935" i="4"/>
  <c r="R934" i="4"/>
  <c r="H934" i="4"/>
  <c r="B934" i="4" s="1"/>
  <c r="R933" i="4"/>
  <c r="S933" i="4" s="1"/>
  <c r="H933" i="4"/>
  <c r="B933" i="4" s="1"/>
  <c r="R931" i="4"/>
  <c r="H931" i="4"/>
  <c r="I931" i="4" s="1"/>
  <c r="R930" i="4"/>
  <c r="H930" i="4"/>
  <c r="R929" i="4"/>
  <c r="S929" i="4" s="1"/>
  <c r="H929" i="4"/>
  <c r="R928" i="4"/>
  <c r="H928" i="4"/>
  <c r="R926" i="4"/>
  <c r="H926" i="4"/>
  <c r="B926" i="4" s="1"/>
  <c r="R925" i="4"/>
  <c r="H925" i="4"/>
  <c r="R924" i="4"/>
  <c r="S924" i="4" s="1"/>
  <c r="H924" i="4"/>
  <c r="B924" i="4" s="1"/>
  <c r="R923" i="4"/>
  <c r="S923" i="4" s="1"/>
  <c r="H923" i="4"/>
  <c r="B923" i="4" s="1"/>
  <c r="R921" i="4"/>
  <c r="H921" i="4"/>
  <c r="I921" i="4" s="1"/>
  <c r="R920" i="4"/>
  <c r="S920" i="4" s="1"/>
  <c r="H920" i="4"/>
  <c r="I920" i="4" s="1"/>
  <c r="R919" i="4"/>
  <c r="H919" i="4"/>
  <c r="I919" i="4" s="1"/>
  <c r="R918" i="4"/>
  <c r="S918" i="4" s="1"/>
  <c r="H918" i="4"/>
  <c r="I918" i="4" s="1"/>
  <c r="R916" i="4"/>
  <c r="H916" i="4"/>
  <c r="I916" i="4" s="1"/>
  <c r="R915" i="4"/>
  <c r="H915" i="4"/>
  <c r="R914" i="4"/>
  <c r="S914" i="4" s="1"/>
  <c r="H914" i="4"/>
  <c r="R913" i="4"/>
  <c r="H913" i="4"/>
  <c r="I913" i="4" s="1"/>
  <c r="R911" i="4"/>
  <c r="H911" i="4"/>
  <c r="B911" i="4" s="1"/>
  <c r="R910" i="4"/>
  <c r="S910" i="4" s="1"/>
  <c r="H910" i="4"/>
  <c r="B910" i="4" s="1"/>
  <c r="R909" i="4"/>
  <c r="S909" i="4" s="1"/>
  <c r="H909" i="4"/>
  <c r="B909" i="4" s="1"/>
  <c r="R908" i="4"/>
  <c r="H908" i="4"/>
  <c r="B908" i="4" s="1"/>
  <c r="R906" i="4"/>
  <c r="S906" i="4" s="1"/>
  <c r="H906" i="4"/>
  <c r="I906" i="4" s="1"/>
  <c r="R905" i="4"/>
  <c r="S905" i="4" s="1"/>
  <c r="H905" i="4"/>
  <c r="I905" i="4" s="1"/>
  <c r="R904" i="4"/>
  <c r="S904" i="4" s="1"/>
  <c r="H904" i="4"/>
  <c r="I904" i="4" s="1"/>
  <c r="R903" i="4"/>
  <c r="S903" i="4" s="1"/>
  <c r="H903" i="4"/>
  <c r="I903" i="4" s="1"/>
  <c r="R901" i="4"/>
  <c r="S901" i="4" s="1"/>
  <c r="H901" i="4"/>
  <c r="B901" i="4" s="1"/>
  <c r="R900" i="4"/>
  <c r="S900" i="4" s="1"/>
  <c r="H900" i="4"/>
  <c r="R899" i="4"/>
  <c r="S899" i="4" s="1"/>
  <c r="H899" i="4"/>
  <c r="B899" i="4" s="1"/>
  <c r="R898" i="4"/>
  <c r="S898" i="4" s="1"/>
  <c r="H898" i="4"/>
  <c r="I898" i="4" s="1"/>
  <c r="R896" i="4"/>
  <c r="H896" i="4"/>
  <c r="R895" i="4"/>
  <c r="S895" i="4" s="1"/>
  <c r="H895" i="4"/>
  <c r="R894" i="4"/>
  <c r="S894" i="4" s="1"/>
  <c r="H894" i="4"/>
  <c r="I894" i="4" s="1"/>
  <c r="R893" i="4"/>
  <c r="H893" i="4"/>
  <c r="I893" i="4" s="1"/>
  <c r="R891" i="4"/>
  <c r="S891" i="4" s="1"/>
  <c r="H891" i="4"/>
  <c r="R890" i="4"/>
  <c r="H890" i="4"/>
  <c r="I890" i="4" s="1"/>
  <c r="R889" i="4"/>
  <c r="H889" i="4"/>
  <c r="I889" i="4" s="1"/>
  <c r="R888" i="4"/>
  <c r="S888" i="4" s="1"/>
  <c r="H888" i="4"/>
  <c r="R886" i="4"/>
  <c r="S886" i="4" s="1"/>
  <c r="H886" i="4"/>
  <c r="I886" i="4" s="1"/>
  <c r="R885" i="4"/>
  <c r="S885" i="4" s="1"/>
  <c r="H885" i="4"/>
  <c r="I885" i="4" s="1"/>
  <c r="R884" i="4"/>
  <c r="H884" i="4"/>
  <c r="I884" i="4" s="1"/>
  <c r="R883" i="4"/>
  <c r="S883" i="4" s="1"/>
  <c r="H883" i="4"/>
  <c r="I883" i="4" s="1"/>
  <c r="R881" i="4"/>
  <c r="S881" i="4" s="1"/>
  <c r="H881" i="4"/>
  <c r="B881" i="4" s="1"/>
  <c r="R880" i="4"/>
  <c r="S880" i="4" s="1"/>
  <c r="H880" i="4"/>
  <c r="R879" i="4"/>
  <c r="H879" i="4"/>
  <c r="I879" i="4" s="1"/>
  <c r="R878" i="4"/>
  <c r="S878" i="4" s="1"/>
  <c r="H878" i="4"/>
  <c r="R876" i="4"/>
  <c r="H876" i="4"/>
  <c r="I876" i="4" s="1"/>
  <c r="R875" i="4"/>
  <c r="S875" i="4" s="1"/>
  <c r="H875" i="4"/>
  <c r="I875" i="4" s="1"/>
  <c r="R874" i="4"/>
  <c r="H874" i="4"/>
  <c r="I874" i="4" s="1"/>
  <c r="R873" i="4"/>
  <c r="S873" i="4" s="1"/>
  <c r="H873" i="4"/>
  <c r="I873" i="4" s="1"/>
  <c r="R871" i="4"/>
  <c r="S871" i="4" s="1"/>
  <c r="H871" i="4"/>
  <c r="R870" i="4"/>
  <c r="H870" i="4"/>
  <c r="I870" i="4" s="1"/>
  <c r="R869" i="4"/>
  <c r="H869" i="4"/>
  <c r="R868" i="4"/>
  <c r="H868" i="4"/>
  <c r="R866" i="4"/>
  <c r="H866" i="4"/>
  <c r="I866" i="4" s="1"/>
  <c r="R865" i="4"/>
  <c r="H865" i="4"/>
  <c r="I865" i="4" s="1"/>
  <c r="R864" i="4"/>
  <c r="S864" i="4" s="1"/>
  <c r="H864" i="4"/>
  <c r="R863" i="4"/>
  <c r="H863" i="4"/>
  <c r="I863" i="4" s="1"/>
  <c r="R861" i="4"/>
  <c r="H861" i="4"/>
  <c r="B861" i="4" s="1"/>
  <c r="R860" i="4"/>
  <c r="S860" i="4" s="1"/>
  <c r="H860" i="4"/>
  <c r="R859" i="4"/>
  <c r="S859" i="4" s="1"/>
  <c r="H859" i="4"/>
  <c r="R858" i="4"/>
  <c r="S858" i="4" s="1"/>
  <c r="H858" i="4"/>
  <c r="B858" i="4" s="1"/>
  <c r="R856" i="4"/>
  <c r="H856" i="4"/>
  <c r="B856" i="4" s="1"/>
  <c r="R855" i="4"/>
  <c r="S855" i="4" s="1"/>
  <c r="H855" i="4"/>
  <c r="R854" i="4"/>
  <c r="H854" i="4"/>
  <c r="I854" i="4" s="1"/>
  <c r="R853" i="4"/>
  <c r="S853" i="4" s="1"/>
  <c r="R851" i="4"/>
  <c r="H851" i="4"/>
  <c r="I851" i="4" s="1"/>
  <c r="R850" i="4"/>
  <c r="S850" i="4" s="1"/>
  <c r="H850" i="4"/>
  <c r="I850" i="4" s="1"/>
  <c r="R849" i="4"/>
  <c r="H849" i="4"/>
  <c r="B849" i="4" s="1"/>
  <c r="R848" i="4"/>
  <c r="S848" i="4" s="1"/>
  <c r="H848" i="4"/>
  <c r="R846" i="4"/>
  <c r="S846" i="4" s="1"/>
  <c r="H846" i="4"/>
  <c r="B846" i="4" s="1"/>
  <c r="R845" i="4"/>
  <c r="S845" i="4" s="1"/>
  <c r="H845" i="4"/>
  <c r="B845" i="4" s="1"/>
  <c r="R844" i="4"/>
  <c r="S844" i="4" s="1"/>
  <c r="H844" i="4"/>
  <c r="R843" i="4"/>
  <c r="H843" i="4"/>
  <c r="R841" i="4"/>
  <c r="H841" i="4"/>
  <c r="I841" i="4" s="1"/>
  <c r="R840" i="4"/>
  <c r="H840" i="4"/>
  <c r="R839" i="4"/>
  <c r="R838" i="4"/>
  <c r="H838" i="4"/>
  <c r="I838" i="4" s="1"/>
  <c r="R836" i="4"/>
  <c r="H836" i="4"/>
  <c r="R835" i="4"/>
  <c r="S835" i="4" s="1"/>
  <c r="H835" i="4"/>
  <c r="R834" i="4"/>
  <c r="H834" i="4"/>
  <c r="R833" i="4"/>
  <c r="H833" i="4"/>
  <c r="R831" i="4"/>
  <c r="S831" i="4" s="1"/>
  <c r="H831" i="4"/>
  <c r="B831" i="4" s="1"/>
  <c r="R830" i="4"/>
  <c r="S830" i="4" s="1"/>
  <c r="H830" i="4"/>
  <c r="R829" i="4"/>
  <c r="H829" i="4"/>
  <c r="I829" i="4" s="1"/>
  <c r="R828" i="4"/>
  <c r="S828" i="4" s="1"/>
  <c r="H828" i="4"/>
  <c r="I828" i="4" s="1"/>
  <c r="R826" i="4"/>
  <c r="H826" i="4"/>
  <c r="I826" i="4" s="1"/>
  <c r="R825" i="4"/>
  <c r="S825" i="4" s="1"/>
  <c r="H825" i="4"/>
  <c r="R824" i="4"/>
  <c r="S824" i="4" s="1"/>
  <c r="H824" i="4"/>
  <c r="I824" i="4" s="1"/>
  <c r="R823" i="4"/>
  <c r="S823" i="4" s="1"/>
  <c r="H823" i="4"/>
  <c r="R821" i="4"/>
  <c r="H821" i="4"/>
  <c r="B821" i="4" s="1"/>
  <c r="R820" i="4"/>
  <c r="H820" i="4"/>
  <c r="B820" i="4" s="1"/>
  <c r="R819" i="4"/>
  <c r="S819" i="4" s="1"/>
  <c r="H819" i="4"/>
  <c r="B819" i="4" s="1"/>
  <c r="R818" i="4"/>
  <c r="H818" i="4"/>
  <c r="R816" i="4"/>
  <c r="H816" i="4"/>
  <c r="I816" i="4" s="1"/>
  <c r="R815" i="4"/>
  <c r="S815" i="4" s="1"/>
  <c r="H815" i="4"/>
  <c r="R814" i="4"/>
  <c r="S814" i="4" s="1"/>
  <c r="H814" i="4"/>
  <c r="B814" i="4" s="1"/>
  <c r="R813" i="4"/>
  <c r="S813" i="4" s="1"/>
  <c r="H813" i="4"/>
  <c r="R811" i="4"/>
  <c r="H811" i="4"/>
  <c r="I811" i="4" s="1"/>
  <c r="R810" i="4"/>
  <c r="H810" i="4"/>
  <c r="R809" i="4"/>
  <c r="S809" i="4" s="1"/>
  <c r="H809" i="4"/>
  <c r="R808" i="4"/>
  <c r="H808" i="4"/>
  <c r="I808" i="4" s="1"/>
  <c r="R806" i="4"/>
  <c r="H806" i="4"/>
  <c r="B806" i="4" s="1"/>
  <c r="R805" i="4"/>
  <c r="S805" i="4" s="1"/>
  <c r="H805" i="4"/>
  <c r="B805" i="4" s="1"/>
  <c r="R804" i="4"/>
  <c r="H804" i="4"/>
  <c r="R803" i="4"/>
  <c r="H803" i="4"/>
  <c r="B803" i="4" s="1"/>
  <c r="R801" i="4"/>
  <c r="S801" i="4" s="1"/>
  <c r="H801" i="4"/>
  <c r="I801" i="4" s="1"/>
  <c r="R800" i="4"/>
  <c r="S800" i="4" s="1"/>
  <c r="H800" i="4"/>
  <c r="I800" i="4" s="1"/>
  <c r="R799" i="4"/>
  <c r="S799" i="4" s="1"/>
  <c r="H799" i="4"/>
  <c r="I799" i="4" s="1"/>
  <c r="R798" i="4"/>
  <c r="S798" i="4" s="1"/>
  <c r="H798" i="4"/>
  <c r="I798" i="4" s="1"/>
  <c r="R796" i="4"/>
  <c r="S796" i="4" s="1"/>
  <c r="H796" i="4"/>
  <c r="I796" i="4" s="1"/>
  <c r="R795" i="4"/>
  <c r="S795" i="4" s="1"/>
  <c r="H795" i="4"/>
  <c r="I795" i="4" s="1"/>
  <c r="R794" i="4"/>
  <c r="S794" i="4" s="1"/>
  <c r="H794" i="4"/>
  <c r="I794" i="4" s="1"/>
  <c r="R793" i="4"/>
  <c r="S793" i="4" s="1"/>
  <c r="H793" i="4"/>
  <c r="I793" i="4" s="1"/>
  <c r="R791" i="4"/>
  <c r="S791" i="4" s="1"/>
  <c r="H791" i="4"/>
  <c r="I791" i="4" s="1"/>
  <c r="R790" i="4"/>
  <c r="S790" i="4" s="1"/>
  <c r="H790" i="4"/>
  <c r="I790" i="4" s="1"/>
  <c r="R789" i="4"/>
  <c r="S789" i="4" s="1"/>
  <c r="H789" i="4"/>
  <c r="I789" i="4" s="1"/>
  <c r="R788" i="4"/>
  <c r="S788" i="4" s="1"/>
  <c r="H788" i="4"/>
  <c r="I788" i="4" s="1"/>
  <c r="R786" i="4"/>
  <c r="S786" i="4" s="1"/>
  <c r="H786" i="4"/>
  <c r="R785" i="4"/>
  <c r="H785" i="4"/>
  <c r="I785" i="4" s="1"/>
  <c r="R784" i="4"/>
  <c r="H784" i="4"/>
  <c r="R783" i="4"/>
  <c r="S783" i="4" s="1"/>
  <c r="H783" i="4"/>
  <c r="I783" i="4" s="1"/>
  <c r="R781" i="4"/>
  <c r="H781" i="4"/>
  <c r="R780" i="4"/>
  <c r="H780" i="4"/>
  <c r="I780" i="4" s="1"/>
  <c r="R779" i="4"/>
  <c r="H779" i="4"/>
  <c r="B779" i="4" s="1"/>
  <c r="R778" i="4"/>
  <c r="S778" i="4" s="1"/>
  <c r="H778" i="4"/>
  <c r="R776" i="4"/>
  <c r="S776" i="4" s="1"/>
  <c r="H776" i="4"/>
  <c r="I776" i="4" s="1"/>
  <c r="R775" i="4"/>
  <c r="S775" i="4" s="1"/>
  <c r="H775" i="4"/>
  <c r="I775" i="4" s="1"/>
  <c r="R774" i="4"/>
  <c r="S774" i="4" s="1"/>
  <c r="H774" i="4"/>
  <c r="I774" i="4" s="1"/>
  <c r="R773" i="4"/>
  <c r="S773" i="4" s="1"/>
  <c r="H773" i="4"/>
  <c r="I773" i="4" s="1"/>
  <c r="R771" i="4"/>
  <c r="S771" i="4" s="1"/>
  <c r="H771" i="4"/>
  <c r="B771" i="4" s="1"/>
  <c r="R770" i="4"/>
  <c r="S770" i="4" s="1"/>
  <c r="L770" i="4"/>
  <c r="H770" i="4"/>
  <c r="B770" i="4" s="1"/>
  <c r="R769" i="4"/>
  <c r="H769" i="4"/>
  <c r="I769" i="4" s="1"/>
  <c r="R768" i="4"/>
  <c r="S768" i="4" s="1"/>
  <c r="H768" i="4"/>
  <c r="I768" i="4" s="1"/>
  <c r="R766" i="4"/>
  <c r="S766" i="4" s="1"/>
  <c r="H766" i="4"/>
  <c r="I766" i="4" s="1"/>
  <c r="R765" i="4"/>
  <c r="S765" i="4" s="1"/>
  <c r="H765" i="4"/>
  <c r="I765" i="4" s="1"/>
  <c r="R764" i="4"/>
  <c r="S764" i="4" s="1"/>
  <c r="H764" i="4"/>
  <c r="I764" i="4" s="1"/>
  <c r="R763" i="4"/>
  <c r="S763" i="4" s="1"/>
  <c r="H763" i="4"/>
  <c r="I763" i="4" s="1"/>
  <c r="R761" i="4"/>
  <c r="H761" i="4"/>
  <c r="I761" i="4" s="1"/>
  <c r="R760" i="4"/>
  <c r="S760" i="4" s="1"/>
  <c r="H760" i="4"/>
  <c r="R759" i="4"/>
  <c r="S759" i="4" s="1"/>
  <c r="H759" i="4"/>
  <c r="I759" i="4" s="1"/>
  <c r="R758" i="4"/>
  <c r="H758" i="4"/>
  <c r="I758" i="4" s="1"/>
  <c r="R756" i="4"/>
  <c r="S756" i="4" s="1"/>
  <c r="H756" i="4"/>
  <c r="B756" i="4" s="1"/>
  <c r="R755" i="4"/>
  <c r="S755" i="4" s="1"/>
  <c r="H755" i="4"/>
  <c r="B755" i="4" s="1"/>
  <c r="R754" i="4"/>
  <c r="S754" i="4" s="1"/>
  <c r="H754" i="4"/>
  <c r="I754" i="4" s="1"/>
  <c r="R753" i="4"/>
  <c r="S753" i="4" s="1"/>
  <c r="H753" i="4"/>
  <c r="B753" i="4" s="1"/>
  <c r="R751" i="4"/>
  <c r="H751" i="4"/>
  <c r="I751" i="4" s="1"/>
  <c r="R750" i="4"/>
  <c r="S750" i="4" s="1"/>
  <c r="H750" i="4"/>
  <c r="I750" i="4" s="1"/>
  <c r="R749" i="4"/>
  <c r="H749" i="4"/>
  <c r="I749" i="4" s="1"/>
  <c r="R748" i="4"/>
  <c r="S748" i="4" s="1"/>
  <c r="H748" i="4"/>
  <c r="I748" i="4" s="1"/>
  <c r="R746" i="4"/>
  <c r="H746" i="4"/>
  <c r="I746" i="4" s="1"/>
  <c r="R745" i="4"/>
  <c r="S745" i="4" s="1"/>
  <c r="H745" i="4"/>
  <c r="I745" i="4" s="1"/>
  <c r="R744" i="4"/>
  <c r="H744" i="4"/>
  <c r="I744" i="4" s="1"/>
  <c r="R743" i="4"/>
  <c r="H743" i="4"/>
  <c r="I743" i="4" s="1"/>
  <c r="R741" i="4"/>
  <c r="H741" i="4"/>
  <c r="I741" i="4" s="1"/>
  <c r="R740" i="4"/>
  <c r="S740" i="4" s="1"/>
  <c r="H740" i="4"/>
  <c r="I740" i="4" s="1"/>
  <c r="R739" i="4"/>
  <c r="H739" i="4"/>
  <c r="I739" i="4" s="1"/>
  <c r="R738" i="4"/>
  <c r="H738" i="4"/>
  <c r="I738" i="4" s="1"/>
  <c r="R736" i="4"/>
  <c r="H736" i="4"/>
  <c r="I736" i="4" s="1"/>
  <c r="R735" i="4"/>
  <c r="H735" i="4"/>
  <c r="I735" i="4" s="1"/>
  <c r="R734" i="4"/>
  <c r="S734" i="4" s="1"/>
  <c r="H734" i="4"/>
  <c r="B734" i="4" s="1"/>
  <c r="R733" i="4"/>
  <c r="S733" i="4" s="1"/>
  <c r="H733" i="4"/>
  <c r="R731" i="4"/>
  <c r="S731" i="4" s="1"/>
  <c r="H731" i="4"/>
  <c r="I731" i="4" s="1"/>
  <c r="R730" i="4"/>
  <c r="S730" i="4" s="1"/>
  <c r="H730" i="4"/>
  <c r="I730" i="4" s="1"/>
  <c r="R729" i="4"/>
  <c r="S729" i="4" s="1"/>
  <c r="H729" i="4"/>
  <c r="B729" i="4" s="1"/>
  <c r="R728" i="4"/>
  <c r="S728" i="4" s="1"/>
  <c r="H728" i="4"/>
  <c r="I728" i="4" s="1"/>
  <c r="R726" i="4"/>
  <c r="H726" i="4"/>
  <c r="I726" i="4" s="1"/>
  <c r="R725" i="4"/>
  <c r="H725" i="4"/>
  <c r="I725" i="4" s="1"/>
  <c r="R724" i="4"/>
  <c r="S724" i="4" s="1"/>
  <c r="H724" i="4"/>
  <c r="B724" i="4" s="1"/>
  <c r="R723" i="4"/>
  <c r="S723" i="4" s="1"/>
  <c r="H723" i="4"/>
  <c r="R721" i="4"/>
  <c r="S721" i="4" s="1"/>
  <c r="H721" i="4"/>
  <c r="I721" i="4" s="1"/>
  <c r="R720" i="4"/>
  <c r="S720" i="4" s="1"/>
  <c r="H720" i="4"/>
  <c r="I720" i="4" s="1"/>
  <c r="R719" i="4"/>
  <c r="S719" i="4" s="1"/>
  <c r="H719" i="4"/>
  <c r="I719" i="4" s="1"/>
  <c r="R718" i="4"/>
  <c r="S718" i="4" s="1"/>
  <c r="H718" i="4"/>
  <c r="I718" i="4" s="1"/>
  <c r="R716" i="4"/>
  <c r="S716" i="4" s="1"/>
  <c r="H716" i="4"/>
  <c r="I716" i="4" s="1"/>
  <c r="R715" i="4"/>
  <c r="H715" i="4"/>
  <c r="I715" i="4" s="1"/>
  <c r="R714" i="4"/>
  <c r="H714" i="4"/>
  <c r="R713" i="4"/>
  <c r="H713" i="4"/>
  <c r="I713" i="4" s="1"/>
  <c r="R711" i="4"/>
  <c r="H711" i="4"/>
  <c r="B711" i="4" s="1"/>
  <c r="R710" i="4"/>
  <c r="S710" i="4" s="1"/>
  <c r="H710" i="4"/>
  <c r="B710" i="4" s="1"/>
  <c r="R709" i="4"/>
  <c r="S709" i="4" s="1"/>
  <c r="H709" i="4"/>
  <c r="R708" i="4"/>
  <c r="S708" i="4" s="1"/>
  <c r="H708" i="4"/>
  <c r="I708" i="4" s="1"/>
  <c r="R706" i="4"/>
  <c r="H706" i="4"/>
  <c r="I706" i="4" s="1"/>
  <c r="R705" i="4"/>
  <c r="S705" i="4" s="1"/>
  <c r="H705" i="4"/>
  <c r="I705" i="4" s="1"/>
  <c r="R704" i="4"/>
  <c r="S704" i="4" s="1"/>
  <c r="H704" i="4"/>
  <c r="I704" i="4" s="1"/>
  <c r="R703" i="4"/>
  <c r="H703" i="4"/>
  <c r="B703" i="4" s="1"/>
  <c r="R701" i="4"/>
  <c r="S701" i="4" s="1"/>
  <c r="H701" i="4"/>
  <c r="I701" i="4" s="1"/>
  <c r="R700" i="4"/>
  <c r="H700" i="4"/>
  <c r="I700" i="4" s="1"/>
  <c r="R699" i="4"/>
  <c r="H699" i="4"/>
  <c r="R698" i="4"/>
  <c r="H698" i="4"/>
  <c r="I698" i="4" s="1"/>
  <c r="R696" i="4"/>
  <c r="H696" i="4"/>
  <c r="I696" i="4" s="1"/>
  <c r="R695" i="4"/>
  <c r="S695" i="4" s="1"/>
  <c r="H695" i="4"/>
  <c r="R694" i="4"/>
  <c r="S694" i="4" s="1"/>
  <c r="H694" i="4"/>
  <c r="I694" i="4" s="1"/>
  <c r="R693" i="4"/>
  <c r="H693" i="4"/>
  <c r="R691" i="4"/>
  <c r="S691" i="4" s="1"/>
  <c r="H691" i="4"/>
  <c r="B691" i="4" s="1"/>
  <c r="R690" i="4"/>
  <c r="S690" i="4" s="1"/>
  <c r="H690" i="4"/>
  <c r="B690" i="4" s="1"/>
  <c r="R689" i="4"/>
  <c r="S689" i="4" s="1"/>
  <c r="H689" i="4"/>
  <c r="I689" i="4" s="1"/>
  <c r="R688" i="4"/>
  <c r="S688" i="4" s="1"/>
  <c r="H688" i="4"/>
  <c r="I688" i="4" s="1"/>
  <c r="R686" i="4"/>
  <c r="H686" i="4"/>
  <c r="I686" i="4" s="1"/>
  <c r="R685" i="4"/>
  <c r="S685" i="4" s="1"/>
  <c r="H685" i="4"/>
  <c r="I685" i="4" s="1"/>
  <c r="R684" i="4"/>
  <c r="H684" i="4"/>
  <c r="I684" i="4" s="1"/>
  <c r="R683" i="4"/>
  <c r="S683" i="4" s="1"/>
  <c r="H683" i="4"/>
  <c r="I683" i="4" s="1"/>
  <c r="R681" i="4"/>
  <c r="H681" i="4"/>
  <c r="I681" i="4" s="1"/>
  <c r="R680" i="4"/>
  <c r="S680" i="4" s="1"/>
  <c r="H680" i="4"/>
  <c r="R679" i="4"/>
  <c r="S679" i="4" s="1"/>
  <c r="H679" i="4"/>
  <c r="I679" i="4" s="1"/>
  <c r="R678" i="4"/>
  <c r="H678" i="4"/>
  <c r="R676" i="4"/>
  <c r="S676" i="4" s="1"/>
  <c r="H676" i="4"/>
  <c r="B676" i="4" s="1"/>
  <c r="R675" i="4"/>
  <c r="H675" i="4"/>
  <c r="B675" i="4" s="1"/>
  <c r="R674" i="4"/>
  <c r="H674" i="4"/>
  <c r="R673" i="4"/>
  <c r="S673" i="4" s="1"/>
  <c r="H673" i="4"/>
  <c r="B673" i="4" s="1"/>
  <c r="R671" i="4"/>
  <c r="S671" i="4" s="1"/>
  <c r="H671" i="4"/>
  <c r="I671" i="4" s="1"/>
  <c r="R670" i="4"/>
  <c r="S670" i="4" s="1"/>
  <c r="H670" i="4"/>
  <c r="I670" i="4" s="1"/>
  <c r="R669" i="4"/>
  <c r="S669" i="4" s="1"/>
  <c r="H669" i="4"/>
  <c r="I669" i="4" s="1"/>
  <c r="R668" i="4"/>
  <c r="S668" i="4" s="1"/>
  <c r="H668" i="4"/>
  <c r="I668" i="4" s="1"/>
  <c r="R666" i="4"/>
  <c r="S666" i="4" s="1"/>
  <c r="L666" i="4"/>
  <c r="H666" i="4"/>
  <c r="I666" i="4" s="1"/>
  <c r="R665" i="4"/>
  <c r="S665" i="4" s="1"/>
  <c r="H665" i="4"/>
  <c r="I665" i="4" s="1"/>
  <c r="R664" i="4"/>
  <c r="S664" i="4" s="1"/>
  <c r="H664" i="4"/>
  <c r="I664" i="4" s="1"/>
  <c r="R663" i="4"/>
  <c r="S663" i="4" s="1"/>
  <c r="H663" i="4"/>
  <c r="I663" i="4" s="1"/>
  <c r="R661" i="4"/>
  <c r="S661" i="4" s="1"/>
  <c r="H661" i="4"/>
  <c r="I661" i="4" s="1"/>
  <c r="R660" i="4"/>
  <c r="S660" i="4" s="1"/>
  <c r="H660" i="4"/>
  <c r="I660" i="4" s="1"/>
  <c r="R659" i="4"/>
  <c r="S659" i="4" s="1"/>
  <c r="H659" i="4"/>
  <c r="R658" i="4"/>
  <c r="S658" i="4" s="1"/>
  <c r="R656" i="4"/>
  <c r="S656" i="4" s="1"/>
  <c r="H656" i="4"/>
  <c r="I656" i="4" s="1"/>
  <c r="R655" i="4"/>
  <c r="S655" i="4" s="1"/>
  <c r="H655" i="4"/>
  <c r="I655" i="4" s="1"/>
  <c r="R654" i="4"/>
  <c r="S654" i="4" s="1"/>
  <c r="H654" i="4"/>
  <c r="I654" i="4" s="1"/>
  <c r="R653" i="4"/>
  <c r="S653" i="4" s="1"/>
  <c r="H653" i="4"/>
  <c r="I653" i="4" s="1"/>
  <c r="R651" i="4"/>
  <c r="S651" i="4" s="1"/>
  <c r="H651" i="4"/>
  <c r="I651" i="4" s="1"/>
  <c r="R650" i="4"/>
  <c r="H650" i="4"/>
  <c r="I650" i="4" s="1"/>
  <c r="R649" i="4"/>
  <c r="S649" i="4" s="1"/>
  <c r="H649" i="4"/>
  <c r="I649" i="4" s="1"/>
  <c r="R648" i="4"/>
  <c r="S648" i="4" s="1"/>
  <c r="H648" i="4"/>
  <c r="I648" i="4" s="1"/>
  <c r="R646" i="4"/>
  <c r="S646" i="4" s="1"/>
  <c r="H646" i="4"/>
  <c r="I646" i="4" s="1"/>
  <c r="R645" i="4"/>
  <c r="S645" i="4" s="1"/>
  <c r="H645" i="4"/>
  <c r="I645" i="4" s="1"/>
  <c r="R644" i="4"/>
  <c r="S644" i="4" s="1"/>
  <c r="H644" i="4"/>
  <c r="I644" i="4" s="1"/>
  <c r="R643" i="4"/>
  <c r="S643" i="4" s="1"/>
  <c r="H643" i="4"/>
  <c r="I643" i="4" s="1"/>
  <c r="R641" i="4"/>
  <c r="S641" i="4" s="1"/>
  <c r="H641" i="4"/>
  <c r="R640" i="4"/>
  <c r="S640" i="4" s="1"/>
  <c r="H640" i="4"/>
  <c r="I640" i="4" s="1"/>
  <c r="R639" i="4"/>
  <c r="H639" i="4"/>
  <c r="I639" i="4" s="1"/>
  <c r="R638" i="4"/>
  <c r="S638" i="4" s="1"/>
  <c r="H638" i="4"/>
  <c r="R636" i="4"/>
  <c r="S636" i="4" s="1"/>
  <c r="H636" i="4"/>
  <c r="I636" i="4" s="1"/>
  <c r="R635" i="4"/>
  <c r="S635" i="4" s="1"/>
  <c r="H635" i="4"/>
  <c r="I635" i="4" s="1"/>
  <c r="R634" i="4"/>
  <c r="H634" i="4"/>
  <c r="I634" i="4" s="1"/>
  <c r="R633" i="4"/>
  <c r="S633" i="4" s="1"/>
  <c r="H633" i="4"/>
  <c r="I633" i="4" s="1"/>
  <c r="R631" i="4"/>
  <c r="S631" i="4" s="1"/>
  <c r="H631" i="4"/>
  <c r="R630" i="4"/>
  <c r="S630" i="4" s="1"/>
  <c r="H630" i="4"/>
  <c r="I630" i="4" s="1"/>
  <c r="R629" i="4"/>
  <c r="H629" i="4"/>
  <c r="I629" i="4" s="1"/>
  <c r="R628" i="4"/>
  <c r="S628" i="4" s="1"/>
  <c r="H628" i="4"/>
  <c r="R626" i="4"/>
  <c r="S626" i="4" s="1"/>
  <c r="H626" i="4"/>
  <c r="I626" i="4" s="1"/>
  <c r="R625" i="4"/>
  <c r="S625" i="4" s="1"/>
  <c r="H625" i="4"/>
  <c r="I625" i="4" s="1"/>
  <c r="R624" i="4"/>
  <c r="H624" i="4"/>
  <c r="I624" i="4" s="1"/>
  <c r="R623" i="4"/>
  <c r="S623" i="4" s="1"/>
  <c r="H623" i="4"/>
  <c r="I623" i="4" s="1"/>
  <c r="R621" i="4"/>
  <c r="S621" i="4" s="1"/>
  <c r="H621" i="4"/>
  <c r="I621" i="4" s="1"/>
  <c r="R620" i="4"/>
  <c r="S620" i="4" s="1"/>
  <c r="H620" i="4"/>
  <c r="I620" i="4" s="1"/>
  <c r="R619" i="4"/>
  <c r="S619" i="4" s="1"/>
  <c r="H619" i="4"/>
  <c r="I619" i="4" s="1"/>
  <c r="R618" i="4"/>
  <c r="S618" i="4" s="1"/>
  <c r="H618" i="4"/>
  <c r="I618" i="4" s="1"/>
  <c r="R616" i="4"/>
  <c r="S616" i="4" s="1"/>
  <c r="H616" i="4"/>
  <c r="I616" i="4" s="1"/>
  <c r="R615" i="4"/>
  <c r="S615" i="4" s="1"/>
  <c r="H615" i="4"/>
  <c r="R614" i="4"/>
  <c r="S614" i="4" s="1"/>
  <c r="H614" i="4"/>
  <c r="I614" i="4" s="1"/>
  <c r="R613" i="4"/>
  <c r="S613" i="4" s="1"/>
  <c r="H613" i="4"/>
  <c r="I613" i="4" s="1"/>
  <c r="R611" i="4"/>
  <c r="H611" i="4"/>
  <c r="I611" i="4" s="1"/>
  <c r="R610" i="4"/>
  <c r="S610" i="4" s="1"/>
  <c r="H610" i="4"/>
  <c r="R609" i="4"/>
  <c r="S609" i="4" s="1"/>
  <c r="H609" i="4"/>
  <c r="I609" i="4" s="1"/>
  <c r="R608" i="4"/>
  <c r="S608" i="4" s="1"/>
  <c r="H608" i="4"/>
  <c r="I608" i="4" s="1"/>
  <c r="R606" i="4"/>
  <c r="S606" i="4" s="1"/>
  <c r="H606" i="4"/>
  <c r="I606" i="4" s="1"/>
  <c r="R605" i="4"/>
  <c r="S605" i="4" s="1"/>
  <c r="H605" i="4"/>
  <c r="I605" i="4" s="1"/>
  <c r="R604" i="4"/>
  <c r="S604" i="4" s="1"/>
  <c r="H604" i="4"/>
  <c r="I604" i="4" s="1"/>
  <c r="R603" i="4"/>
  <c r="S603" i="4" s="1"/>
  <c r="H603" i="4"/>
  <c r="I603" i="4" s="1"/>
  <c r="R601" i="4"/>
  <c r="S601" i="4" s="1"/>
  <c r="H601" i="4"/>
  <c r="I601" i="4" s="1"/>
  <c r="R600" i="4"/>
  <c r="H600" i="4"/>
  <c r="I600" i="4" s="1"/>
  <c r="R599" i="4"/>
  <c r="S599" i="4" s="1"/>
  <c r="H599" i="4"/>
  <c r="I599" i="4" s="1"/>
  <c r="R598" i="4"/>
  <c r="S598" i="4" s="1"/>
  <c r="H598" i="4"/>
  <c r="I598" i="4" s="1"/>
  <c r="R596" i="4"/>
  <c r="S596" i="4" s="1"/>
  <c r="H596" i="4"/>
  <c r="I596" i="4" s="1"/>
  <c r="R595" i="4"/>
  <c r="H595" i="4"/>
  <c r="I595" i="4" s="1"/>
  <c r="R594" i="4"/>
  <c r="S594" i="4" s="1"/>
  <c r="H594" i="4"/>
  <c r="I594" i="4" s="1"/>
  <c r="R593" i="4"/>
  <c r="H593" i="4"/>
  <c r="I593" i="4" s="1"/>
  <c r="R591" i="4"/>
  <c r="S591" i="4" s="1"/>
  <c r="H591" i="4"/>
  <c r="I591" i="4" s="1"/>
  <c r="R590" i="4"/>
  <c r="S590" i="4" s="1"/>
  <c r="H590" i="4"/>
  <c r="I590" i="4" s="1"/>
  <c r="R589" i="4"/>
  <c r="S589" i="4" s="1"/>
  <c r="H589" i="4"/>
  <c r="I589" i="4" s="1"/>
  <c r="R588" i="4"/>
  <c r="S588" i="4" s="1"/>
  <c r="H588" i="4"/>
  <c r="I588" i="4" s="1"/>
  <c r="R586" i="4"/>
  <c r="S586" i="4" s="1"/>
  <c r="H586" i="4"/>
  <c r="B586" i="4" s="1"/>
  <c r="R585" i="4"/>
  <c r="S585" i="4" s="1"/>
  <c r="H585" i="4"/>
  <c r="B585" i="4" s="1"/>
  <c r="R584" i="4"/>
  <c r="S584" i="4" s="1"/>
  <c r="H584" i="4"/>
  <c r="R583" i="4"/>
  <c r="S583" i="4" s="1"/>
  <c r="H583" i="4"/>
  <c r="B583" i="4" s="1"/>
  <c r="R581" i="4"/>
  <c r="S581" i="4" s="1"/>
  <c r="H581" i="4"/>
  <c r="R580" i="4"/>
  <c r="S580" i="4" s="1"/>
  <c r="H580" i="4"/>
  <c r="I580" i="4" s="1"/>
  <c r="R579" i="4"/>
  <c r="S579" i="4" s="1"/>
  <c r="H579" i="4"/>
  <c r="R578" i="4"/>
  <c r="S578" i="4" s="1"/>
  <c r="H578" i="4"/>
  <c r="I578" i="4" s="1"/>
  <c r="R576" i="4"/>
  <c r="S576" i="4" s="1"/>
  <c r="H576" i="4"/>
  <c r="I576" i="4" s="1"/>
  <c r="R575" i="4"/>
  <c r="S575" i="4" s="1"/>
  <c r="H575" i="4"/>
  <c r="I575" i="4" s="1"/>
  <c r="R574" i="4"/>
  <c r="S574" i="4" s="1"/>
  <c r="H574" i="4"/>
  <c r="R573" i="4"/>
  <c r="S573" i="4" s="1"/>
  <c r="H573" i="4"/>
  <c r="I573" i="4" s="1"/>
  <c r="R571" i="4"/>
  <c r="S571" i="4" s="1"/>
  <c r="H571" i="4"/>
  <c r="I571" i="4" s="1"/>
  <c r="R570" i="4"/>
  <c r="S570" i="4" s="1"/>
  <c r="H570" i="4"/>
  <c r="R569" i="4"/>
  <c r="S569" i="4" s="1"/>
  <c r="H569" i="4"/>
  <c r="I569" i="4" s="1"/>
  <c r="R568" i="4"/>
  <c r="H568" i="4"/>
  <c r="I568" i="4" s="1"/>
  <c r="R566" i="4"/>
  <c r="S566" i="4" s="1"/>
  <c r="H566" i="4"/>
  <c r="I566" i="4" s="1"/>
  <c r="R565" i="4"/>
  <c r="S565" i="4" s="1"/>
  <c r="H565" i="4"/>
  <c r="I565" i="4" s="1"/>
  <c r="R564" i="4"/>
  <c r="S564" i="4" s="1"/>
  <c r="H564" i="4"/>
  <c r="I564" i="4" s="1"/>
  <c r="R563" i="4"/>
  <c r="S563" i="4" s="1"/>
  <c r="H563" i="4"/>
  <c r="I563" i="4" s="1"/>
  <c r="R561" i="4"/>
  <c r="H561" i="4"/>
  <c r="I561" i="4" s="1"/>
  <c r="R560" i="4"/>
  <c r="S560" i="4" s="1"/>
  <c r="H560" i="4"/>
  <c r="R559" i="4"/>
  <c r="S559" i="4" s="1"/>
  <c r="H559" i="4"/>
  <c r="I559" i="4" s="1"/>
  <c r="R558" i="4"/>
  <c r="S558" i="4" s="1"/>
  <c r="H558" i="4"/>
  <c r="I558" i="4" s="1"/>
  <c r="R556" i="4"/>
  <c r="S556" i="4" s="1"/>
  <c r="H556" i="4"/>
  <c r="I556" i="4" s="1"/>
  <c r="R555" i="4"/>
  <c r="H555" i="4"/>
  <c r="B555" i="4" s="1"/>
  <c r="R554" i="4"/>
  <c r="S554" i="4" s="1"/>
  <c r="H554" i="4"/>
  <c r="R553" i="4"/>
  <c r="S553" i="4" s="1"/>
  <c r="H553" i="4"/>
  <c r="I553" i="4" s="1"/>
  <c r="R551" i="4"/>
  <c r="S551" i="4" s="1"/>
  <c r="H551" i="4"/>
  <c r="R550" i="4"/>
  <c r="H550" i="4"/>
  <c r="R549" i="4"/>
  <c r="H549" i="4"/>
  <c r="I549" i="4" s="1"/>
  <c r="R548" i="4"/>
  <c r="S548" i="4" s="1"/>
  <c r="H548" i="4"/>
  <c r="I548" i="4" s="1"/>
  <c r="R546" i="4"/>
  <c r="S546" i="4" s="1"/>
  <c r="H546" i="4"/>
  <c r="I546" i="4" s="1"/>
  <c r="R545" i="4"/>
  <c r="S545" i="4" s="1"/>
  <c r="H545" i="4"/>
  <c r="I545" i="4" s="1"/>
  <c r="R544" i="4"/>
  <c r="S544" i="4" s="1"/>
  <c r="H544" i="4"/>
  <c r="I544" i="4" s="1"/>
  <c r="R543" i="4"/>
  <c r="S543" i="4" s="1"/>
  <c r="H543" i="4"/>
  <c r="I543" i="4" s="1"/>
  <c r="R541" i="4"/>
  <c r="S541" i="4" s="1"/>
  <c r="H541" i="4"/>
  <c r="I541" i="4" s="1"/>
  <c r="R540" i="4"/>
  <c r="S540" i="4" s="1"/>
  <c r="H540" i="4"/>
  <c r="I540" i="4" s="1"/>
  <c r="R539" i="4"/>
  <c r="S539" i="4" s="1"/>
  <c r="H539" i="4"/>
  <c r="I539" i="4" s="1"/>
  <c r="R538" i="4"/>
  <c r="S538" i="4" s="1"/>
  <c r="H538" i="4"/>
  <c r="I538" i="4" s="1"/>
  <c r="R536" i="4"/>
  <c r="S536" i="4" s="1"/>
  <c r="H536" i="4"/>
  <c r="I536" i="4" s="1"/>
  <c r="R535" i="4"/>
  <c r="H535" i="4"/>
  <c r="I535" i="4" s="1"/>
  <c r="R534" i="4"/>
  <c r="S534" i="4" s="1"/>
  <c r="H534" i="4"/>
  <c r="I534" i="4" s="1"/>
  <c r="R533" i="4"/>
  <c r="H533" i="4"/>
  <c r="I533" i="4" s="1"/>
  <c r="R531" i="4"/>
  <c r="S531" i="4" s="1"/>
  <c r="H531" i="4"/>
  <c r="I531" i="4" s="1"/>
  <c r="R530" i="4"/>
  <c r="S530" i="4" s="1"/>
  <c r="H530" i="4"/>
  <c r="I530" i="4" s="1"/>
  <c r="R529" i="4"/>
  <c r="S529" i="4" s="1"/>
  <c r="H529" i="4"/>
  <c r="I529" i="4" s="1"/>
  <c r="R528" i="4"/>
  <c r="S528" i="4" s="1"/>
  <c r="H528" i="4"/>
  <c r="I528" i="4" s="1"/>
  <c r="R526" i="4"/>
  <c r="S526" i="4" s="1"/>
  <c r="H526" i="4"/>
  <c r="R525" i="4"/>
  <c r="H525" i="4"/>
  <c r="I525" i="4" s="1"/>
  <c r="R524" i="4"/>
  <c r="S524" i="4" s="1"/>
  <c r="H524" i="4"/>
  <c r="I524" i="4" s="1"/>
  <c r="R523" i="4"/>
  <c r="H523" i="4"/>
  <c r="I523" i="4" s="1"/>
  <c r="R521" i="4"/>
  <c r="S521" i="4" s="1"/>
  <c r="H521" i="4"/>
  <c r="R520" i="4"/>
  <c r="S520" i="4" s="1"/>
  <c r="H520" i="4"/>
  <c r="B520" i="4" s="1"/>
  <c r="R519" i="4"/>
  <c r="S519" i="4" s="1"/>
  <c r="H519" i="4"/>
  <c r="R518" i="4"/>
  <c r="H518" i="4"/>
  <c r="I518" i="4" s="1"/>
  <c r="R516" i="4"/>
  <c r="S516" i="4" s="1"/>
  <c r="H516" i="4"/>
  <c r="I516" i="4" s="1"/>
  <c r="R515" i="4"/>
  <c r="H515" i="4"/>
  <c r="B515" i="4" s="1"/>
  <c r="R514" i="4"/>
  <c r="S514" i="4" s="1"/>
  <c r="H514" i="4"/>
  <c r="R513" i="4"/>
  <c r="S513" i="4" s="1"/>
  <c r="H513" i="4"/>
  <c r="B513" i="4" s="1"/>
  <c r="R511" i="4"/>
  <c r="S511" i="4" s="1"/>
  <c r="H511" i="4"/>
  <c r="I511" i="4" s="1"/>
  <c r="R510" i="4"/>
  <c r="S510" i="4" s="1"/>
  <c r="H510" i="4"/>
  <c r="I510" i="4" s="1"/>
  <c r="R509" i="4"/>
  <c r="S509" i="4" s="1"/>
  <c r="H509" i="4"/>
  <c r="I509" i="4" s="1"/>
  <c r="R508" i="4"/>
  <c r="S508" i="4" s="1"/>
  <c r="H508" i="4"/>
  <c r="I508" i="4" s="1"/>
  <c r="D512" i="4"/>
  <c r="F512" i="4" s="1"/>
  <c r="E512" i="4"/>
  <c r="G512" i="4" s="1"/>
  <c r="R506" i="4"/>
  <c r="S506" i="4" s="1"/>
  <c r="H506" i="4"/>
  <c r="R505" i="4"/>
  <c r="H505" i="4"/>
  <c r="I505" i="4" s="1"/>
  <c r="R504" i="4"/>
  <c r="H504" i="4"/>
  <c r="R503" i="4"/>
  <c r="S503" i="4" s="1"/>
  <c r="H503" i="4"/>
  <c r="R501" i="4"/>
  <c r="H501" i="4"/>
  <c r="I501" i="4" s="1"/>
  <c r="R500" i="4"/>
  <c r="H500" i="4"/>
  <c r="R499" i="4"/>
  <c r="S499" i="4" s="1"/>
  <c r="H499" i="4"/>
  <c r="R498" i="4"/>
  <c r="H498" i="4"/>
  <c r="I498" i="4" s="1"/>
  <c r="R496" i="4"/>
  <c r="H496" i="4"/>
  <c r="R495" i="4"/>
  <c r="S495" i="4" s="1"/>
  <c r="H495" i="4"/>
  <c r="R494" i="4"/>
  <c r="H494" i="4"/>
  <c r="I494" i="4" s="1"/>
  <c r="R493" i="4"/>
  <c r="H493" i="4"/>
  <c r="R491" i="4"/>
  <c r="S491" i="4" s="1"/>
  <c r="H491" i="4"/>
  <c r="R490" i="4"/>
  <c r="H490" i="4"/>
  <c r="I490" i="4" s="1"/>
  <c r="R489" i="4"/>
  <c r="H489" i="4"/>
  <c r="I489" i="4" s="1"/>
  <c r="R488" i="4"/>
  <c r="S488" i="4" s="1"/>
  <c r="H488" i="4"/>
  <c r="R486" i="4"/>
  <c r="H486" i="4"/>
  <c r="I486" i="4" s="1"/>
  <c r="R485" i="4"/>
  <c r="H485" i="4"/>
  <c r="R484" i="4"/>
  <c r="S484" i="4" s="1"/>
  <c r="H484" i="4"/>
  <c r="R483" i="4"/>
  <c r="H483" i="4"/>
  <c r="I483" i="4" s="1"/>
  <c r="R481" i="4"/>
  <c r="H481" i="4"/>
  <c r="R480" i="4"/>
  <c r="S480" i="4" s="1"/>
  <c r="H480" i="4"/>
  <c r="R479" i="4"/>
  <c r="H479" i="4"/>
  <c r="I479" i="4" s="1"/>
  <c r="R478" i="4"/>
  <c r="H478" i="4"/>
  <c r="R476" i="4"/>
  <c r="S476" i="4" s="1"/>
  <c r="H476" i="4"/>
  <c r="R475" i="4"/>
  <c r="H475" i="4"/>
  <c r="I475" i="4" s="1"/>
  <c r="R474" i="4"/>
  <c r="H474" i="4"/>
  <c r="R473" i="4"/>
  <c r="S473" i="4" s="1"/>
  <c r="H473" i="4"/>
  <c r="R471" i="4"/>
  <c r="H471" i="4"/>
  <c r="I471" i="4" s="1"/>
  <c r="R470" i="4"/>
  <c r="S470" i="4" s="1"/>
  <c r="H470" i="4"/>
  <c r="I470" i="4" s="1"/>
  <c r="R469" i="4"/>
  <c r="H469" i="4"/>
  <c r="I469" i="4" s="1"/>
  <c r="R468" i="4"/>
  <c r="S468" i="4" s="1"/>
  <c r="H468" i="4"/>
  <c r="I468" i="4" s="1"/>
  <c r="R466" i="4"/>
  <c r="H466" i="4"/>
  <c r="I466" i="4" s="1"/>
  <c r="R465" i="4"/>
  <c r="S465" i="4" s="1"/>
  <c r="H465" i="4"/>
  <c r="B465" i="4" s="1"/>
  <c r="R464" i="4"/>
  <c r="H464" i="4"/>
  <c r="B464" i="4" s="1"/>
  <c r="R463" i="4"/>
  <c r="S463" i="4" s="1"/>
  <c r="H463" i="4"/>
  <c r="R461" i="4"/>
  <c r="S461" i="4" s="1"/>
  <c r="H461" i="4"/>
  <c r="R460" i="4"/>
  <c r="H460" i="4"/>
  <c r="I460" i="4" s="1"/>
  <c r="R459" i="4"/>
  <c r="H459" i="4"/>
  <c r="R458" i="4"/>
  <c r="S458" i="4" s="1"/>
  <c r="H458" i="4"/>
  <c r="R456" i="4"/>
  <c r="H456" i="4"/>
  <c r="I456" i="4" s="1"/>
  <c r="R455" i="4"/>
  <c r="H455" i="4"/>
  <c r="R454" i="4"/>
  <c r="S454" i="4" s="1"/>
  <c r="H454" i="4"/>
  <c r="R453" i="4"/>
  <c r="H453" i="4"/>
  <c r="I453" i="4" s="1"/>
  <c r="R451" i="4"/>
  <c r="H451" i="4"/>
  <c r="B451" i="4" s="1"/>
  <c r="R450" i="4"/>
  <c r="S450" i="4" s="1"/>
  <c r="H450" i="4"/>
  <c r="I450" i="4" s="1"/>
  <c r="R449" i="4"/>
  <c r="H449" i="4"/>
  <c r="I449" i="4" s="1"/>
  <c r="R448" i="4"/>
  <c r="S448" i="4" s="1"/>
  <c r="H448" i="4"/>
  <c r="I448" i="4" s="1"/>
  <c r="R446" i="4"/>
  <c r="H446" i="4"/>
  <c r="R445" i="4"/>
  <c r="S445" i="4" s="1"/>
  <c r="H445" i="4"/>
  <c r="R444" i="4"/>
  <c r="H444" i="4"/>
  <c r="I444" i="4" s="1"/>
  <c r="R443" i="4"/>
  <c r="H443" i="4"/>
  <c r="R441" i="4"/>
  <c r="S441" i="4" s="1"/>
  <c r="H441" i="4"/>
  <c r="I441" i="4" s="1"/>
  <c r="R440" i="4"/>
  <c r="S440" i="4" s="1"/>
  <c r="H440" i="4"/>
  <c r="R439" i="4"/>
  <c r="H439" i="4"/>
  <c r="B439" i="4" s="1"/>
  <c r="R438" i="4"/>
  <c r="S438" i="4" s="1"/>
  <c r="H438" i="4"/>
  <c r="B438" i="4" s="1"/>
  <c r="R436" i="4"/>
  <c r="H436" i="4"/>
  <c r="R435" i="4"/>
  <c r="S435" i="4" s="1"/>
  <c r="H435" i="4"/>
  <c r="R434" i="4"/>
  <c r="H434" i="4"/>
  <c r="I434" i="4" s="1"/>
  <c r="R433" i="4"/>
  <c r="H433" i="4"/>
  <c r="R431" i="4"/>
  <c r="S431" i="4" s="1"/>
  <c r="H431" i="4"/>
  <c r="R430" i="4"/>
  <c r="H430" i="4"/>
  <c r="I430" i="4" s="1"/>
  <c r="R429" i="4"/>
  <c r="H429" i="4"/>
  <c r="R428" i="4"/>
  <c r="S428" i="4" s="1"/>
  <c r="H428" i="4"/>
  <c r="R426" i="4"/>
  <c r="H426" i="4"/>
  <c r="I426" i="4" s="1"/>
  <c r="R425" i="4"/>
  <c r="S425" i="4" s="1"/>
  <c r="H425" i="4"/>
  <c r="B425" i="4" s="1"/>
  <c r="R424" i="4"/>
  <c r="H424" i="4"/>
  <c r="I424" i="4" s="1"/>
  <c r="R423" i="4"/>
  <c r="S423" i="4" s="1"/>
  <c r="H423" i="4"/>
  <c r="R421" i="4"/>
  <c r="S421" i="4" s="1"/>
  <c r="H421" i="4"/>
  <c r="R420" i="4"/>
  <c r="H420" i="4"/>
  <c r="I420" i="4" s="1"/>
  <c r="R419" i="4"/>
  <c r="H419" i="4"/>
  <c r="R418" i="4"/>
  <c r="S418" i="4" s="1"/>
  <c r="H418" i="4"/>
  <c r="R416" i="4"/>
  <c r="H416" i="4"/>
  <c r="I416" i="4" s="1"/>
  <c r="R415" i="4"/>
  <c r="S415" i="4" s="1"/>
  <c r="H415" i="4"/>
  <c r="B415" i="4" s="1"/>
  <c r="R414" i="4"/>
  <c r="H414" i="4"/>
  <c r="I414" i="4" s="1"/>
  <c r="R413" i="4"/>
  <c r="S413" i="4" s="1"/>
  <c r="H413" i="4"/>
  <c r="R411" i="4"/>
  <c r="S411" i="4" s="1"/>
  <c r="H411" i="4"/>
  <c r="I411" i="4" s="1"/>
  <c r="R410" i="4"/>
  <c r="S410" i="4" s="1"/>
  <c r="H410" i="4"/>
  <c r="I410" i="4" s="1"/>
  <c r="R409" i="4"/>
  <c r="S409" i="4" s="1"/>
  <c r="H409" i="4"/>
  <c r="I409" i="4" s="1"/>
  <c r="R408" i="4"/>
  <c r="S408" i="4" s="1"/>
  <c r="H408" i="4"/>
  <c r="I408" i="4" s="1"/>
  <c r="R406" i="4"/>
  <c r="H406" i="4"/>
  <c r="I406" i="4" s="1"/>
  <c r="R405" i="4"/>
  <c r="S405" i="4" s="1"/>
  <c r="H405" i="4"/>
  <c r="I405" i="4" s="1"/>
  <c r="R404" i="4"/>
  <c r="H404" i="4"/>
  <c r="I404" i="4" s="1"/>
  <c r="R403" i="4"/>
  <c r="S403" i="4" s="1"/>
  <c r="H403" i="4"/>
  <c r="I403" i="4" s="1"/>
  <c r="R401" i="4"/>
  <c r="H401" i="4"/>
  <c r="I401" i="4" s="1"/>
  <c r="R400" i="4"/>
  <c r="S400" i="4" s="1"/>
  <c r="H400" i="4"/>
  <c r="I400" i="4" s="1"/>
  <c r="R399" i="4"/>
  <c r="H399" i="4"/>
  <c r="I399" i="4" s="1"/>
  <c r="R398" i="4"/>
  <c r="S398" i="4" s="1"/>
  <c r="H398" i="4"/>
  <c r="I398" i="4" s="1"/>
  <c r="R396" i="4"/>
  <c r="H396" i="4"/>
  <c r="I396" i="4" s="1"/>
  <c r="R395" i="4"/>
  <c r="S395" i="4" s="1"/>
  <c r="H395" i="4"/>
  <c r="I395" i="4" s="1"/>
  <c r="R394" i="4"/>
  <c r="H394" i="4"/>
  <c r="I394" i="4" s="1"/>
  <c r="R393" i="4"/>
  <c r="S393" i="4" s="1"/>
  <c r="H393" i="4"/>
  <c r="I393" i="4" s="1"/>
  <c r="R391" i="4"/>
  <c r="H391" i="4"/>
  <c r="R390" i="4"/>
  <c r="H390" i="4"/>
  <c r="R389" i="4"/>
  <c r="H389" i="4"/>
  <c r="R388" i="4"/>
  <c r="H388" i="4"/>
  <c r="R386" i="4"/>
  <c r="H386" i="4"/>
  <c r="B386" i="4" s="1"/>
  <c r="R385" i="4"/>
  <c r="S385" i="4" s="1"/>
  <c r="H385" i="4"/>
  <c r="R384" i="4"/>
  <c r="H384" i="4"/>
  <c r="B384" i="4" s="1"/>
  <c r="R383" i="4"/>
  <c r="S383" i="4" s="1"/>
  <c r="H383" i="4"/>
  <c r="R381" i="4"/>
  <c r="H381" i="4"/>
  <c r="B381" i="4" s="1"/>
  <c r="R380" i="4"/>
  <c r="S380" i="4" s="1"/>
  <c r="H380" i="4"/>
  <c r="R379" i="4"/>
  <c r="H379" i="4"/>
  <c r="I379" i="4" s="1"/>
  <c r="R378" i="4"/>
  <c r="S378" i="4" s="1"/>
  <c r="H378" i="4"/>
  <c r="R376" i="4"/>
  <c r="H376" i="4"/>
  <c r="R375" i="4"/>
  <c r="H375" i="4"/>
  <c r="R374" i="4"/>
  <c r="H374" i="4"/>
  <c r="R373" i="4"/>
  <c r="H373" i="4"/>
  <c r="R371" i="4"/>
  <c r="H371" i="4"/>
  <c r="I371" i="4" s="1"/>
  <c r="R370" i="4"/>
  <c r="S370" i="4" s="1"/>
  <c r="H370" i="4"/>
  <c r="I370" i="4" s="1"/>
  <c r="R369" i="4"/>
  <c r="H369" i="4"/>
  <c r="I369" i="4" s="1"/>
  <c r="R368" i="4"/>
  <c r="S368" i="4" s="1"/>
  <c r="H368" i="4"/>
  <c r="B368" i="4" s="1"/>
  <c r="R366" i="4"/>
  <c r="H366" i="4"/>
  <c r="R365" i="4"/>
  <c r="H365" i="4"/>
  <c r="R364" i="4"/>
  <c r="H364" i="4"/>
  <c r="R363" i="4"/>
  <c r="H363" i="4"/>
  <c r="R361" i="4"/>
  <c r="S361" i="4" s="1"/>
  <c r="H361" i="4"/>
  <c r="I361" i="4" s="1"/>
  <c r="R360" i="4"/>
  <c r="S360" i="4" s="1"/>
  <c r="H360" i="4"/>
  <c r="R359" i="4"/>
  <c r="S359" i="4" s="1"/>
  <c r="H359" i="4"/>
  <c r="I359" i="4" s="1"/>
  <c r="R358" i="4"/>
  <c r="S358" i="4" s="1"/>
  <c r="H358" i="4"/>
  <c r="R356" i="4"/>
  <c r="H356" i="4"/>
  <c r="I356" i="4" s="1"/>
  <c r="R355" i="4"/>
  <c r="S355" i="4" s="1"/>
  <c r="H355" i="4"/>
  <c r="I355" i="4" s="1"/>
  <c r="R354" i="4"/>
  <c r="H354" i="4"/>
  <c r="I354" i="4" s="1"/>
  <c r="R353" i="4"/>
  <c r="S353" i="4" s="1"/>
  <c r="H353" i="4"/>
  <c r="I353" i="4" s="1"/>
  <c r="R351" i="4"/>
  <c r="S351" i="4" s="1"/>
  <c r="H351" i="4"/>
  <c r="I351" i="4" s="1"/>
  <c r="R350" i="4"/>
  <c r="S350" i="4" s="1"/>
  <c r="H350" i="4"/>
  <c r="I350" i="4" s="1"/>
  <c r="R349" i="4"/>
  <c r="S349" i="4" s="1"/>
  <c r="H349" i="4"/>
  <c r="R348" i="4"/>
  <c r="S348" i="4" s="1"/>
  <c r="H348" i="4"/>
  <c r="I348" i="4" s="1"/>
  <c r="R346" i="4"/>
  <c r="S346" i="4" s="1"/>
  <c r="H346" i="4"/>
  <c r="I346" i="4" s="1"/>
  <c r="R345" i="4"/>
  <c r="H345" i="4"/>
  <c r="R344" i="4"/>
  <c r="S344" i="4" s="1"/>
  <c r="H344" i="4"/>
  <c r="I344" i="4" s="1"/>
  <c r="R343" i="4"/>
  <c r="S343" i="4" s="1"/>
  <c r="H343" i="4"/>
  <c r="I343" i="4" s="1"/>
  <c r="R341" i="4"/>
  <c r="S341" i="4" s="1"/>
  <c r="H341" i="4"/>
  <c r="I341" i="4" s="1"/>
  <c r="R340" i="4"/>
  <c r="S340" i="4" s="1"/>
  <c r="H340" i="4"/>
  <c r="I340" i="4" s="1"/>
  <c r="R339" i="4"/>
  <c r="S339" i="4" s="1"/>
  <c r="H339" i="4"/>
  <c r="B339" i="4" s="1"/>
  <c r="R338" i="4"/>
  <c r="S338" i="4" s="1"/>
  <c r="H338" i="4"/>
  <c r="I338" i="4" s="1"/>
  <c r="R336" i="4"/>
  <c r="H336" i="4"/>
  <c r="I336" i="4" s="1"/>
  <c r="R335" i="4"/>
  <c r="S335" i="4" s="1"/>
  <c r="H335" i="4"/>
  <c r="I335" i="4" s="1"/>
  <c r="R334" i="4"/>
  <c r="S334" i="4" s="1"/>
  <c r="H334" i="4"/>
  <c r="I334" i="4" s="1"/>
  <c r="R333" i="4"/>
  <c r="S333" i="4" s="1"/>
  <c r="H333" i="4"/>
  <c r="I333" i="4" s="1"/>
  <c r="R331" i="4"/>
  <c r="S331" i="4" s="1"/>
  <c r="H331" i="4"/>
  <c r="I331" i="4" s="1"/>
  <c r="R330" i="4"/>
  <c r="S330" i="4" s="1"/>
  <c r="H330" i="4"/>
  <c r="I330" i="4" s="1"/>
  <c r="R329" i="4"/>
  <c r="S329" i="4" s="1"/>
  <c r="H329" i="4"/>
  <c r="I329" i="4" s="1"/>
  <c r="R328" i="4"/>
  <c r="S328" i="4" s="1"/>
  <c r="H328" i="4"/>
  <c r="I328" i="4" s="1"/>
  <c r="R326" i="4"/>
  <c r="S326" i="4" s="1"/>
  <c r="H326" i="4"/>
  <c r="I326" i="4" s="1"/>
  <c r="R325" i="4"/>
  <c r="S325" i="4" s="1"/>
  <c r="H325" i="4"/>
  <c r="I325" i="4" s="1"/>
  <c r="R324" i="4"/>
  <c r="S324" i="4" s="1"/>
  <c r="H324" i="4"/>
  <c r="I324" i="4" s="1"/>
  <c r="R323" i="4"/>
  <c r="S323" i="4" s="1"/>
  <c r="H323" i="4"/>
  <c r="I323" i="4" s="1"/>
  <c r="R321" i="4"/>
  <c r="S321" i="4" s="1"/>
  <c r="H321" i="4"/>
  <c r="I321" i="4" s="1"/>
  <c r="R320" i="4"/>
  <c r="S320" i="4" s="1"/>
  <c r="H320" i="4"/>
  <c r="I320" i="4" s="1"/>
  <c r="R319" i="4"/>
  <c r="S319" i="4" s="1"/>
  <c r="H319" i="4"/>
  <c r="I319" i="4" s="1"/>
  <c r="R318" i="4"/>
  <c r="S318" i="4" s="1"/>
  <c r="H318" i="4"/>
  <c r="I318" i="4" s="1"/>
  <c r="R316" i="4"/>
  <c r="S316" i="4" s="1"/>
  <c r="H316" i="4"/>
  <c r="I316" i="4" s="1"/>
  <c r="R315" i="4"/>
  <c r="S315" i="4" s="1"/>
  <c r="H315" i="4"/>
  <c r="I315" i="4" s="1"/>
  <c r="R314" i="4"/>
  <c r="H314" i="4"/>
  <c r="I314" i="4" s="1"/>
  <c r="R313" i="4"/>
  <c r="S313" i="4" s="1"/>
  <c r="H313" i="4"/>
  <c r="I313" i="4" s="1"/>
  <c r="R311" i="4"/>
  <c r="S311" i="4" s="1"/>
  <c r="H311" i="4"/>
  <c r="I311" i="4" s="1"/>
  <c r="R310" i="4"/>
  <c r="S310" i="4" s="1"/>
  <c r="H310" i="4"/>
  <c r="I310" i="4" s="1"/>
  <c r="R309" i="4"/>
  <c r="S309" i="4" s="1"/>
  <c r="H309" i="4"/>
  <c r="I309" i="4" s="1"/>
  <c r="R308" i="4"/>
  <c r="S308" i="4" s="1"/>
  <c r="H308" i="4"/>
  <c r="I308" i="4" s="1"/>
  <c r="R306" i="4"/>
  <c r="S306" i="4" s="1"/>
  <c r="H306" i="4"/>
  <c r="B306" i="4" s="1"/>
  <c r="R305" i="4"/>
  <c r="S305" i="4" s="1"/>
  <c r="H305" i="4"/>
  <c r="B305" i="4" s="1"/>
  <c r="R304" i="4"/>
  <c r="S304" i="4" s="1"/>
  <c r="H304" i="4"/>
  <c r="I304" i="4" s="1"/>
  <c r="R303" i="4"/>
  <c r="S303" i="4" s="1"/>
  <c r="H303" i="4"/>
  <c r="B303" i="4" s="1"/>
  <c r="R301" i="4"/>
  <c r="S301" i="4" s="1"/>
  <c r="H301" i="4"/>
  <c r="I301" i="4" s="1"/>
  <c r="R300" i="4"/>
  <c r="S300" i="4" s="1"/>
  <c r="H300" i="4"/>
  <c r="I300" i="4" s="1"/>
  <c r="R299" i="4"/>
  <c r="S299" i="4" s="1"/>
  <c r="H299" i="4"/>
  <c r="I299" i="4" s="1"/>
  <c r="R298" i="4"/>
  <c r="S298" i="4" s="1"/>
  <c r="H298" i="4"/>
  <c r="I298" i="4" s="1"/>
  <c r="R296" i="4"/>
  <c r="S296" i="4" s="1"/>
  <c r="H296" i="4"/>
  <c r="I296" i="4" s="1"/>
  <c r="R295" i="4"/>
  <c r="S295" i="4" s="1"/>
  <c r="H295" i="4"/>
  <c r="I295" i="4" s="1"/>
  <c r="R294" i="4"/>
  <c r="S294" i="4" s="1"/>
  <c r="H294" i="4"/>
  <c r="I294" i="4" s="1"/>
  <c r="R293" i="4"/>
  <c r="S293" i="4" s="1"/>
  <c r="H293" i="4"/>
  <c r="I293" i="4" s="1"/>
  <c r="R291" i="4"/>
  <c r="S291" i="4" s="1"/>
  <c r="H291" i="4"/>
  <c r="I291" i="4" s="1"/>
  <c r="R290" i="4"/>
  <c r="S290" i="4" s="1"/>
  <c r="H290" i="4"/>
  <c r="I290" i="4" s="1"/>
  <c r="R289" i="4"/>
  <c r="S289" i="4" s="1"/>
  <c r="H289" i="4"/>
  <c r="I289" i="4" s="1"/>
  <c r="R288" i="4"/>
  <c r="S288" i="4" s="1"/>
  <c r="B288" i="4"/>
  <c r="R286" i="4"/>
  <c r="S286" i="4" s="1"/>
  <c r="H286" i="4"/>
  <c r="I286" i="4" s="1"/>
  <c r="R285" i="4"/>
  <c r="S285" i="4" s="1"/>
  <c r="H285" i="4"/>
  <c r="I285" i="4" s="1"/>
  <c r="R284" i="4"/>
  <c r="S284" i="4" s="1"/>
  <c r="H284" i="4"/>
  <c r="I284" i="4" s="1"/>
  <c r="R283" i="4"/>
  <c r="S283" i="4" s="1"/>
  <c r="H283" i="4"/>
  <c r="R281" i="4"/>
  <c r="S281" i="4" s="1"/>
  <c r="H281" i="4"/>
  <c r="I281" i="4" s="1"/>
  <c r="R280" i="4"/>
  <c r="S280" i="4" s="1"/>
  <c r="H280" i="4"/>
  <c r="I280" i="4" s="1"/>
  <c r="R279" i="4"/>
  <c r="S279" i="4" s="1"/>
  <c r="H279" i="4"/>
  <c r="I279" i="4" s="1"/>
  <c r="R278" i="4"/>
  <c r="S278" i="4" s="1"/>
  <c r="H278" i="4"/>
  <c r="I278" i="4" s="1"/>
  <c r="R276" i="4"/>
  <c r="S276" i="4" s="1"/>
  <c r="H276" i="4"/>
  <c r="I276" i="4" s="1"/>
  <c r="R275" i="4"/>
  <c r="S275" i="4" s="1"/>
  <c r="H275" i="4"/>
  <c r="B275" i="4" s="1"/>
  <c r="R274" i="4"/>
  <c r="S274" i="4" s="1"/>
  <c r="H274" i="4"/>
  <c r="B274" i="4" s="1"/>
  <c r="R273" i="4"/>
  <c r="S273" i="4" s="1"/>
  <c r="H273" i="4"/>
  <c r="I273" i="4" s="1"/>
  <c r="R271" i="4"/>
  <c r="S271" i="4" s="1"/>
  <c r="H271" i="4"/>
  <c r="I271" i="4" s="1"/>
  <c r="R270" i="4"/>
  <c r="S270" i="4" s="1"/>
  <c r="H270" i="4"/>
  <c r="I270" i="4" s="1"/>
  <c r="R269" i="4"/>
  <c r="S269" i="4" s="1"/>
  <c r="H269" i="4"/>
  <c r="I269" i="4" s="1"/>
  <c r="R268" i="4"/>
  <c r="S268" i="4" s="1"/>
  <c r="H268" i="4"/>
  <c r="I268" i="4" s="1"/>
  <c r="R266" i="4"/>
  <c r="H266" i="4"/>
  <c r="I266" i="4" s="1"/>
  <c r="R265" i="4"/>
  <c r="S265" i="4" s="1"/>
  <c r="H265" i="4"/>
  <c r="I265" i="4" s="1"/>
  <c r="R264" i="4"/>
  <c r="S264" i="4" s="1"/>
  <c r="H264" i="4"/>
  <c r="B264" i="4" s="1"/>
  <c r="R263" i="4"/>
  <c r="S263" i="4" s="1"/>
  <c r="H263" i="4"/>
  <c r="I263" i="4" s="1"/>
  <c r="R261" i="4"/>
  <c r="S261" i="4" s="1"/>
  <c r="H261" i="4"/>
  <c r="B261" i="4" s="1"/>
  <c r="R260" i="4"/>
  <c r="S260" i="4" s="1"/>
  <c r="H260" i="4"/>
  <c r="I260" i="4" s="1"/>
  <c r="R259" i="4"/>
  <c r="S259" i="4" s="1"/>
  <c r="H259" i="4"/>
  <c r="R258" i="4"/>
  <c r="S258" i="4" s="1"/>
  <c r="H258" i="4"/>
  <c r="I258" i="4" s="1"/>
  <c r="R256" i="4"/>
  <c r="S256" i="4" s="1"/>
  <c r="H256" i="4"/>
  <c r="I256" i="4" s="1"/>
  <c r="R255" i="4"/>
  <c r="S255" i="4" s="1"/>
  <c r="H255" i="4"/>
  <c r="I255" i="4" s="1"/>
  <c r="R254" i="4"/>
  <c r="S254" i="4" s="1"/>
  <c r="H254" i="4"/>
  <c r="I254" i="4" s="1"/>
  <c r="R253" i="4"/>
  <c r="S253" i="4" s="1"/>
  <c r="H253" i="4"/>
  <c r="I253" i="4" s="1"/>
  <c r="R251" i="4"/>
  <c r="S251" i="4" s="1"/>
  <c r="H251" i="4"/>
  <c r="B251" i="4" s="1"/>
  <c r="R250" i="4"/>
  <c r="S250" i="4" s="1"/>
  <c r="H250" i="4"/>
  <c r="I250" i="4" s="1"/>
  <c r="R249" i="4"/>
  <c r="S249" i="4" s="1"/>
  <c r="H249" i="4"/>
  <c r="I249" i="4" s="1"/>
  <c r="R248" i="4"/>
  <c r="S248" i="4" s="1"/>
  <c r="H248" i="4"/>
  <c r="I248" i="4" s="1"/>
  <c r="R246" i="4"/>
  <c r="S246" i="4" s="1"/>
  <c r="H246" i="4"/>
  <c r="I246" i="4" s="1"/>
  <c r="R245" i="4"/>
  <c r="S245" i="4" s="1"/>
  <c r="H245" i="4"/>
  <c r="I245" i="4" s="1"/>
  <c r="R244" i="4"/>
  <c r="S244" i="4" s="1"/>
  <c r="H244" i="4"/>
  <c r="I244" i="4" s="1"/>
  <c r="R243" i="4"/>
  <c r="S243" i="4" s="1"/>
  <c r="H243" i="4"/>
  <c r="I243" i="4" s="1"/>
  <c r="R241" i="4"/>
  <c r="S241" i="4" s="1"/>
  <c r="H241" i="4"/>
  <c r="I241" i="4" s="1"/>
  <c r="R240" i="4"/>
  <c r="S240" i="4" s="1"/>
  <c r="H240" i="4"/>
  <c r="I240" i="4" s="1"/>
  <c r="R239" i="4"/>
  <c r="S239" i="4" s="1"/>
  <c r="H239" i="4"/>
  <c r="I239" i="4" s="1"/>
  <c r="R238" i="4"/>
  <c r="S238" i="4" s="1"/>
  <c r="H238" i="4"/>
  <c r="I238" i="4" s="1"/>
  <c r="R236" i="4"/>
  <c r="S236" i="4" s="1"/>
  <c r="H236" i="4"/>
  <c r="I236" i="4" s="1"/>
  <c r="R235" i="4"/>
  <c r="S235" i="4" s="1"/>
  <c r="H235" i="4"/>
  <c r="I235" i="4" s="1"/>
  <c r="R234" i="4"/>
  <c r="S234" i="4" s="1"/>
  <c r="H234" i="4"/>
  <c r="I234" i="4" s="1"/>
  <c r="R233" i="4"/>
  <c r="S233" i="4" s="1"/>
  <c r="H233" i="4"/>
  <c r="B233" i="4" s="1"/>
  <c r="R231" i="4"/>
  <c r="S231" i="4" s="1"/>
  <c r="H231" i="4"/>
  <c r="I231" i="4" s="1"/>
  <c r="R230" i="4"/>
  <c r="S230" i="4" s="1"/>
  <c r="H230" i="4"/>
  <c r="I230" i="4" s="1"/>
  <c r="R229" i="4"/>
  <c r="S229" i="4" s="1"/>
  <c r="H229" i="4"/>
  <c r="I229" i="4" s="1"/>
  <c r="R228" i="4"/>
  <c r="S228" i="4" s="1"/>
  <c r="H228" i="4"/>
  <c r="I228" i="4" s="1"/>
  <c r="R226" i="4"/>
  <c r="S226" i="4" s="1"/>
  <c r="H226" i="4"/>
  <c r="I226" i="4" s="1"/>
  <c r="R225" i="4"/>
  <c r="S225" i="4" s="1"/>
  <c r="H225" i="4"/>
  <c r="I225" i="4" s="1"/>
  <c r="R224" i="4"/>
  <c r="S224" i="4" s="1"/>
  <c r="H224" i="4"/>
  <c r="I224" i="4" s="1"/>
  <c r="R223" i="4"/>
  <c r="S223" i="4" s="1"/>
  <c r="H223" i="4"/>
  <c r="I223" i="4" s="1"/>
  <c r="R221" i="4"/>
  <c r="S221" i="4" s="1"/>
  <c r="H221" i="4"/>
  <c r="B221" i="4" s="1"/>
  <c r="R220" i="4"/>
  <c r="S220" i="4" s="1"/>
  <c r="H220" i="4"/>
  <c r="B220" i="4" s="1"/>
  <c r="R219" i="4"/>
  <c r="L219" i="4" s="1"/>
  <c r="H219" i="4"/>
  <c r="B219" i="4" s="1"/>
  <c r="R218" i="4"/>
  <c r="L218" i="4" s="1"/>
  <c r="H218" i="4"/>
  <c r="B218" i="4" s="1"/>
  <c r="R216" i="4"/>
  <c r="S216" i="4" s="1"/>
  <c r="H216" i="4"/>
  <c r="I216" i="4" s="1"/>
  <c r="R215" i="4"/>
  <c r="S215" i="4" s="1"/>
  <c r="H215" i="4"/>
  <c r="I215" i="4" s="1"/>
  <c r="R214" i="4"/>
  <c r="S214" i="4" s="1"/>
  <c r="H214" i="4"/>
  <c r="B214" i="4" s="1"/>
  <c r="R213" i="4"/>
  <c r="S213" i="4" s="1"/>
  <c r="H213" i="4"/>
  <c r="B213" i="4" s="1"/>
  <c r="R211" i="4"/>
  <c r="S211" i="4" s="1"/>
  <c r="H211" i="4"/>
  <c r="I211" i="4" s="1"/>
  <c r="R210" i="4"/>
  <c r="S210" i="4" s="1"/>
  <c r="H210" i="4"/>
  <c r="I210" i="4" s="1"/>
  <c r="R209" i="4"/>
  <c r="S209" i="4" s="1"/>
  <c r="H209" i="4"/>
  <c r="I209" i="4" s="1"/>
  <c r="R208" i="4"/>
  <c r="S208" i="4" s="1"/>
  <c r="H208" i="4"/>
  <c r="I208" i="4" s="1"/>
  <c r="R206" i="4"/>
  <c r="S206" i="4" s="1"/>
  <c r="R205" i="4"/>
  <c r="S205" i="4" s="1"/>
  <c r="H205" i="4"/>
  <c r="I205" i="4" s="1"/>
  <c r="R204" i="4"/>
  <c r="S204" i="4" s="1"/>
  <c r="H204" i="4"/>
  <c r="I204" i="4" s="1"/>
  <c r="R203" i="4"/>
  <c r="S203" i="4" s="1"/>
  <c r="H203" i="4"/>
  <c r="I203" i="4" s="1"/>
  <c r="R201" i="4"/>
  <c r="S201" i="4" s="1"/>
  <c r="H201" i="4"/>
  <c r="I201" i="4" s="1"/>
  <c r="R200" i="4"/>
  <c r="S200" i="4" s="1"/>
  <c r="H200" i="4"/>
  <c r="I200" i="4" s="1"/>
  <c r="R199" i="4"/>
  <c r="S199" i="4" s="1"/>
  <c r="H199" i="4"/>
  <c r="I199" i="4" s="1"/>
  <c r="R198" i="4"/>
  <c r="S198" i="4" s="1"/>
  <c r="H198" i="4"/>
  <c r="I198" i="4" s="1"/>
  <c r="R196" i="4"/>
  <c r="S196" i="4" s="1"/>
  <c r="H196" i="4"/>
  <c r="I196" i="4" s="1"/>
  <c r="R195" i="4"/>
  <c r="S195" i="4" s="1"/>
  <c r="H195" i="4"/>
  <c r="B195" i="4" s="1"/>
  <c r="R194" i="4"/>
  <c r="S194" i="4" s="1"/>
  <c r="H194" i="4"/>
  <c r="B194" i="4" s="1"/>
  <c r="R193" i="4"/>
  <c r="S193" i="4" s="1"/>
  <c r="H193" i="4"/>
  <c r="I193" i="4" s="1"/>
  <c r="R191" i="4"/>
  <c r="S191" i="4" s="1"/>
  <c r="H191" i="4"/>
  <c r="I191" i="4" s="1"/>
  <c r="R190" i="4"/>
  <c r="S190" i="4" s="1"/>
  <c r="H190" i="4"/>
  <c r="I190" i="4" s="1"/>
  <c r="R189" i="4"/>
  <c r="S189" i="4" s="1"/>
  <c r="H189" i="4"/>
  <c r="B189" i="4" s="1"/>
  <c r="R188" i="4"/>
  <c r="S188" i="4" s="1"/>
  <c r="H188" i="4"/>
  <c r="B188" i="4" s="1"/>
  <c r="R186" i="4"/>
  <c r="S186" i="4" s="1"/>
  <c r="H186" i="4"/>
  <c r="I186" i="4" s="1"/>
  <c r="R185" i="4"/>
  <c r="S185" i="4" s="1"/>
  <c r="H185" i="4"/>
  <c r="I185" i="4" s="1"/>
  <c r="R184" i="4"/>
  <c r="S184" i="4" s="1"/>
  <c r="H184" i="4"/>
  <c r="I184" i="4" s="1"/>
  <c r="R183" i="4"/>
  <c r="S183" i="4" s="1"/>
  <c r="H183" i="4"/>
  <c r="B183" i="4" s="1"/>
  <c r="R181" i="4"/>
  <c r="S181" i="4" s="1"/>
  <c r="H181" i="4"/>
  <c r="I181" i="4" s="1"/>
  <c r="R180" i="4"/>
  <c r="S180" i="4" s="1"/>
  <c r="H180" i="4"/>
  <c r="I180" i="4" s="1"/>
  <c r="R179" i="4"/>
  <c r="S179" i="4" s="1"/>
  <c r="H179" i="4"/>
  <c r="I179" i="4" s="1"/>
  <c r="R178" i="4"/>
  <c r="S178" i="4" s="1"/>
  <c r="H178" i="4"/>
  <c r="I178" i="4" s="1"/>
  <c r="R176" i="4"/>
  <c r="S176" i="4" s="1"/>
  <c r="H176" i="4"/>
  <c r="I176" i="4" s="1"/>
  <c r="R175" i="4"/>
  <c r="S175" i="4" s="1"/>
  <c r="H175" i="4"/>
  <c r="I175" i="4" s="1"/>
  <c r="R174" i="4"/>
  <c r="S174" i="4" s="1"/>
  <c r="H174" i="4"/>
  <c r="I174" i="4" s="1"/>
  <c r="R173" i="4"/>
  <c r="S173" i="4" s="1"/>
  <c r="H173" i="4"/>
  <c r="I173" i="4" s="1"/>
  <c r="R171" i="4"/>
  <c r="S171" i="4" s="1"/>
  <c r="H171" i="4"/>
  <c r="B171" i="4" s="1"/>
  <c r="R170" i="4"/>
  <c r="S170" i="4" s="1"/>
  <c r="H170" i="4"/>
  <c r="B170" i="4" s="1"/>
  <c r="R169" i="4"/>
  <c r="L169" i="4" s="1"/>
  <c r="H169" i="4"/>
  <c r="B169" i="4" s="1"/>
  <c r="R168" i="4"/>
  <c r="S168" i="4" s="1"/>
  <c r="H168" i="4"/>
  <c r="B168" i="4" s="1"/>
  <c r="R166" i="4"/>
  <c r="S166" i="4" s="1"/>
  <c r="H166" i="4"/>
  <c r="B166" i="4" s="1"/>
  <c r="R165" i="4"/>
  <c r="S165" i="4" s="1"/>
  <c r="H165" i="4"/>
  <c r="I165" i="4" s="1"/>
  <c r="R164" i="4"/>
  <c r="S164" i="4" s="1"/>
  <c r="H164" i="4"/>
  <c r="I164" i="4" s="1"/>
  <c r="R163" i="4"/>
  <c r="S163" i="4" s="1"/>
  <c r="H163" i="4"/>
  <c r="B163" i="4" s="1"/>
  <c r="R161" i="4"/>
  <c r="S161" i="4" s="1"/>
  <c r="H161" i="4"/>
  <c r="I161" i="4" s="1"/>
  <c r="R160" i="4"/>
  <c r="S160" i="4" s="1"/>
  <c r="H160" i="4"/>
  <c r="I160" i="4" s="1"/>
  <c r="R159" i="4"/>
  <c r="S159" i="4" s="1"/>
  <c r="H159" i="4"/>
  <c r="B159" i="4" s="1"/>
  <c r="R158" i="4"/>
  <c r="S158" i="4" s="1"/>
  <c r="H158" i="4"/>
  <c r="B158" i="4" s="1"/>
  <c r="R156" i="4"/>
  <c r="S156" i="4" s="1"/>
  <c r="H156" i="4"/>
  <c r="I156" i="4" s="1"/>
  <c r="R155" i="4"/>
  <c r="S155" i="4" s="1"/>
  <c r="H155" i="4"/>
  <c r="B155" i="4" s="1"/>
  <c r="R154" i="4"/>
  <c r="S154" i="4" s="1"/>
  <c r="H154" i="4"/>
  <c r="I154" i="4" s="1"/>
  <c r="R153" i="4"/>
  <c r="S153" i="4" s="1"/>
  <c r="H153" i="4"/>
  <c r="I153" i="4" s="1"/>
  <c r="R151" i="4"/>
  <c r="S151" i="4" s="1"/>
  <c r="H151" i="4"/>
  <c r="I151" i="4" s="1"/>
  <c r="R150" i="4"/>
  <c r="S150" i="4" s="1"/>
  <c r="H150" i="4"/>
  <c r="I150" i="4" s="1"/>
  <c r="R149" i="4"/>
  <c r="S149" i="4" s="1"/>
  <c r="H149" i="4"/>
  <c r="I149" i="4" s="1"/>
  <c r="R148" i="4"/>
  <c r="S148" i="4" s="1"/>
  <c r="H148" i="4"/>
  <c r="I148" i="4" s="1"/>
  <c r="R146" i="4"/>
  <c r="S146" i="4" s="1"/>
  <c r="H146" i="4"/>
  <c r="I146" i="4" s="1"/>
  <c r="R145" i="4"/>
  <c r="S145" i="4" s="1"/>
  <c r="H145" i="4"/>
  <c r="I145" i="4" s="1"/>
  <c r="R144" i="4"/>
  <c r="S144" i="4" s="1"/>
  <c r="H144" i="4"/>
  <c r="I144" i="4" s="1"/>
  <c r="R143" i="4"/>
  <c r="S143" i="4" s="1"/>
  <c r="H143" i="4"/>
  <c r="I143" i="4" s="1"/>
  <c r="R141" i="4"/>
  <c r="S141" i="4" s="1"/>
  <c r="H141" i="4"/>
  <c r="I141" i="4" s="1"/>
  <c r="R140" i="4"/>
  <c r="S140" i="4" s="1"/>
  <c r="H140" i="4"/>
  <c r="I140" i="4" s="1"/>
  <c r="R139" i="4"/>
  <c r="S139" i="4" s="1"/>
  <c r="H139" i="4"/>
  <c r="I139" i="4" s="1"/>
  <c r="R138" i="4"/>
  <c r="S138" i="4" s="1"/>
  <c r="H138" i="4"/>
  <c r="I138" i="4" s="1"/>
  <c r="R136" i="4"/>
  <c r="S136" i="4" s="1"/>
  <c r="H136" i="4"/>
  <c r="B136" i="4" s="1"/>
  <c r="R135" i="4"/>
  <c r="S135" i="4" s="1"/>
  <c r="H135" i="4"/>
  <c r="B135" i="4" s="1"/>
  <c r="R134" i="4"/>
  <c r="S134" i="4" s="1"/>
  <c r="H134" i="4"/>
  <c r="I134" i="4" s="1"/>
  <c r="R133" i="4"/>
  <c r="S133" i="4" s="1"/>
  <c r="H133" i="4"/>
  <c r="I133" i="4" s="1"/>
  <c r="R131" i="4"/>
  <c r="S131" i="4" s="1"/>
  <c r="H131" i="4"/>
  <c r="I131" i="4" s="1"/>
  <c r="R130" i="4"/>
  <c r="S130" i="4" s="1"/>
  <c r="H130" i="4"/>
  <c r="I130" i="4" s="1"/>
  <c r="R129" i="4"/>
  <c r="S129" i="4" s="1"/>
  <c r="H129" i="4"/>
  <c r="B129" i="4" s="1"/>
  <c r="R128" i="4"/>
  <c r="S128" i="4" s="1"/>
  <c r="H128" i="4"/>
  <c r="B128" i="4" s="1"/>
  <c r="R126" i="4"/>
  <c r="S126" i="4" s="1"/>
  <c r="H126" i="4"/>
  <c r="I126" i="4" s="1"/>
  <c r="R125" i="4"/>
  <c r="S125" i="4" s="1"/>
  <c r="H125" i="4"/>
  <c r="I125" i="4" s="1"/>
  <c r="R124" i="4"/>
  <c r="S124" i="4" s="1"/>
  <c r="H124" i="4"/>
  <c r="I124" i="4" s="1"/>
  <c r="R123" i="4"/>
  <c r="S123" i="4" s="1"/>
  <c r="H123" i="4"/>
  <c r="I123" i="4" s="1"/>
  <c r="R121" i="4"/>
  <c r="S121" i="4" s="1"/>
  <c r="H121" i="4"/>
  <c r="I121" i="4" s="1"/>
  <c r="R120" i="4"/>
  <c r="S120" i="4" s="1"/>
  <c r="H120" i="4"/>
  <c r="I120" i="4" s="1"/>
  <c r="R119" i="4"/>
  <c r="S119" i="4" s="1"/>
  <c r="H119" i="4"/>
  <c r="I119" i="4" s="1"/>
  <c r="R118" i="4"/>
  <c r="S118" i="4" s="1"/>
  <c r="H118" i="4"/>
  <c r="I118" i="4" s="1"/>
  <c r="R116" i="4"/>
  <c r="S116" i="4" s="1"/>
  <c r="H116" i="4"/>
  <c r="I116" i="4" s="1"/>
  <c r="R115" i="4"/>
  <c r="S115" i="4" s="1"/>
  <c r="H115" i="4"/>
  <c r="I115" i="4" s="1"/>
  <c r="R114" i="4"/>
  <c r="S114" i="4" s="1"/>
  <c r="H114" i="4"/>
  <c r="I114" i="4" s="1"/>
  <c r="R113" i="4"/>
  <c r="S113" i="4" s="1"/>
  <c r="H113" i="4"/>
  <c r="I113" i="4" s="1"/>
  <c r="R111" i="4"/>
  <c r="S111" i="4" s="1"/>
  <c r="H111" i="4"/>
  <c r="I111" i="4" s="1"/>
  <c r="R110" i="4"/>
  <c r="S110" i="4" s="1"/>
  <c r="H110" i="4"/>
  <c r="I110" i="4" s="1"/>
  <c r="R109" i="4"/>
  <c r="S109" i="4" s="1"/>
  <c r="H109" i="4"/>
  <c r="I109" i="4" s="1"/>
  <c r="R108" i="4"/>
  <c r="S108" i="4" s="1"/>
  <c r="H108" i="4"/>
  <c r="I108" i="4" s="1"/>
  <c r="R106" i="4"/>
  <c r="S106" i="4" s="1"/>
  <c r="H106" i="4"/>
  <c r="I106" i="4" s="1"/>
  <c r="R105" i="4"/>
  <c r="S105" i="4" s="1"/>
  <c r="H105" i="4"/>
  <c r="I105" i="4" s="1"/>
  <c r="R104" i="4"/>
  <c r="S104" i="4" s="1"/>
  <c r="H104" i="4"/>
  <c r="I104" i="4" s="1"/>
  <c r="R103" i="4"/>
  <c r="S103" i="4" s="1"/>
  <c r="H103" i="4"/>
  <c r="I103" i="4" s="1"/>
  <c r="R101" i="4"/>
  <c r="S101" i="4" s="1"/>
  <c r="H101" i="4"/>
  <c r="I101" i="4" s="1"/>
  <c r="R100" i="4"/>
  <c r="S100" i="4" s="1"/>
  <c r="H100" i="4"/>
  <c r="I100" i="4" s="1"/>
  <c r="R99" i="4"/>
  <c r="S99" i="4" s="1"/>
  <c r="H99" i="4"/>
  <c r="B99" i="4" s="1"/>
  <c r="R98" i="4"/>
  <c r="S98" i="4" s="1"/>
  <c r="H98" i="4"/>
  <c r="I98" i="4" s="1"/>
  <c r="R96" i="4"/>
  <c r="S96" i="4" s="1"/>
  <c r="H96" i="4"/>
  <c r="I96" i="4" s="1"/>
  <c r="R95" i="4"/>
  <c r="S95" i="4" s="1"/>
  <c r="H95" i="4"/>
  <c r="I95" i="4" s="1"/>
  <c r="R94" i="4"/>
  <c r="S94" i="4" s="1"/>
  <c r="H94" i="4"/>
  <c r="I94" i="4" s="1"/>
  <c r="R93" i="4"/>
  <c r="S93" i="4" s="1"/>
  <c r="H93" i="4"/>
  <c r="I93" i="4" s="1"/>
  <c r="R91" i="4"/>
  <c r="S91" i="4" s="1"/>
  <c r="H91" i="4"/>
  <c r="B91" i="4" s="1"/>
  <c r="R90" i="4"/>
  <c r="S90" i="4" s="1"/>
  <c r="H90" i="4"/>
  <c r="I90" i="4" s="1"/>
  <c r="R89" i="4"/>
  <c r="S89" i="4" s="1"/>
  <c r="H89" i="4"/>
  <c r="I89" i="4" s="1"/>
  <c r="R88" i="4"/>
  <c r="S88" i="4" s="1"/>
  <c r="H88" i="4"/>
  <c r="I88" i="4" s="1"/>
  <c r="R86" i="4"/>
  <c r="S86" i="4" s="1"/>
  <c r="H86" i="4"/>
  <c r="I86" i="4" s="1"/>
  <c r="R85" i="4"/>
  <c r="S85" i="4" s="1"/>
  <c r="H85" i="4"/>
  <c r="I85" i="4" s="1"/>
  <c r="R84" i="4"/>
  <c r="S84" i="4" s="1"/>
  <c r="H84" i="4"/>
  <c r="I84" i="4" s="1"/>
  <c r="R83" i="4"/>
  <c r="S83" i="4" s="1"/>
  <c r="H83" i="4"/>
  <c r="I83" i="4" s="1"/>
  <c r="R81" i="4"/>
  <c r="S81" i="4" s="1"/>
  <c r="H81" i="4"/>
  <c r="I81" i="4" s="1"/>
  <c r="R80" i="4"/>
  <c r="S80" i="4" s="1"/>
  <c r="H80" i="4"/>
  <c r="I80" i="4" s="1"/>
  <c r="R79" i="4"/>
  <c r="S79" i="4" s="1"/>
  <c r="H79" i="4"/>
  <c r="I79" i="4" s="1"/>
  <c r="R78" i="4"/>
  <c r="S78" i="4" s="1"/>
  <c r="H78" i="4"/>
  <c r="B78" i="4" s="1"/>
  <c r="R76" i="4"/>
  <c r="S76" i="4" s="1"/>
  <c r="H76" i="4"/>
  <c r="I76" i="4" s="1"/>
  <c r="R75" i="4"/>
  <c r="S75" i="4" s="1"/>
  <c r="H75" i="4"/>
  <c r="B75" i="4" s="1"/>
  <c r="R74" i="4"/>
  <c r="S74" i="4" s="1"/>
  <c r="H74" i="4"/>
  <c r="I74" i="4" s="1"/>
  <c r="R73" i="4"/>
  <c r="S73" i="4" s="1"/>
  <c r="H73" i="4"/>
  <c r="I73" i="4" s="1"/>
  <c r="R71" i="4"/>
  <c r="S71" i="4" s="1"/>
  <c r="H71" i="4"/>
  <c r="I71" i="4" s="1"/>
  <c r="R70" i="4"/>
  <c r="S70" i="4" s="1"/>
  <c r="H70" i="4"/>
  <c r="I70" i="4" s="1"/>
  <c r="R69" i="4"/>
  <c r="S69" i="4" s="1"/>
  <c r="H69" i="4"/>
  <c r="I69" i="4" s="1"/>
  <c r="R68" i="4"/>
  <c r="S68" i="4" s="1"/>
  <c r="H68" i="4"/>
  <c r="I68" i="4" s="1"/>
  <c r="R66" i="4"/>
  <c r="S66" i="4" s="1"/>
  <c r="H66" i="4"/>
  <c r="I66" i="4" s="1"/>
  <c r="R65" i="4"/>
  <c r="S65" i="4" s="1"/>
  <c r="H65" i="4"/>
  <c r="I65" i="4" s="1"/>
  <c r="R64" i="4"/>
  <c r="S64" i="4" s="1"/>
  <c r="H64" i="4"/>
  <c r="I64" i="4" s="1"/>
  <c r="R63" i="4"/>
  <c r="S63" i="4" s="1"/>
  <c r="H63" i="4"/>
  <c r="I63" i="4" s="1"/>
  <c r="R61" i="4"/>
  <c r="S61" i="4" s="1"/>
  <c r="H61" i="4"/>
  <c r="I61" i="4" s="1"/>
  <c r="R60" i="4"/>
  <c r="S60" i="4" s="1"/>
  <c r="H60" i="4"/>
  <c r="I60" i="4" s="1"/>
  <c r="R59" i="4"/>
  <c r="S59" i="4" s="1"/>
  <c r="H59" i="4"/>
  <c r="I59" i="4" s="1"/>
  <c r="R58" i="4"/>
  <c r="S58" i="4" s="1"/>
  <c r="H58" i="4"/>
  <c r="I58" i="4" s="1"/>
  <c r="R56" i="4"/>
  <c r="S56" i="4" s="1"/>
  <c r="H56" i="4"/>
  <c r="I56" i="4" s="1"/>
  <c r="R55" i="4"/>
  <c r="S55" i="4" s="1"/>
  <c r="H55" i="4"/>
  <c r="I55" i="4" s="1"/>
  <c r="R54" i="4"/>
  <c r="S54" i="4" s="1"/>
  <c r="H54" i="4"/>
  <c r="I54" i="4" s="1"/>
  <c r="R53" i="4"/>
  <c r="S53" i="4" s="1"/>
  <c r="H53" i="4"/>
  <c r="I53" i="4" s="1"/>
  <c r="R51" i="4"/>
  <c r="S51" i="4" s="1"/>
  <c r="H51" i="4"/>
  <c r="B51" i="4" s="1"/>
  <c r="R50" i="4"/>
  <c r="S50" i="4" s="1"/>
  <c r="H50" i="4"/>
  <c r="B50" i="4" s="1"/>
  <c r="R49" i="4"/>
  <c r="S49" i="4" s="1"/>
  <c r="H49" i="4"/>
  <c r="I49" i="4" s="1"/>
  <c r="R48" i="4"/>
  <c r="S48" i="4" s="1"/>
  <c r="H48" i="4"/>
  <c r="I48" i="4" s="1"/>
  <c r="R46" i="4"/>
  <c r="S46" i="4" s="1"/>
  <c r="H46" i="4"/>
  <c r="I46" i="4" s="1"/>
  <c r="R45" i="4"/>
  <c r="S45" i="4" s="1"/>
  <c r="L45" i="4"/>
  <c r="H45" i="4"/>
  <c r="I45" i="4" s="1"/>
  <c r="R44" i="4"/>
  <c r="S44" i="4" s="1"/>
  <c r="H44" i="4"/>
  <c r="I44" i="4" s="1"/>
  <c r="R43" i="4"/>
  <c r="S43" i="4" s="1"/>
  <c r="H43" i="4"/>
  <c r="I43" i="4" s="1"/>
  <c r="R41" i="4"/>
  <c r="S41" i="4" s="1"/>
  <c r="H41" i="4"/>
  <c r="I41" i="4" s="1"/>
  <c r="R40" i="4"/>
  <c r="S40" i="4" s="1"/>
  <c r="H40" i="4"/>
  <c r="I40" i="4" s="1"/>
  <c r="R39" i="4"/>
  <c r="S39" i="4" s="1"/>
  <c r="H39" i="4"/>
  <c r="B39" i="4" s="1"/>
  <c r="R38" i="4"/>
  <c r="S38" i="4" s="1"/>
  <c r="H38" i="4"/>
  <c r="I38" i="4" s="1"/>
  <c r="D97" i="4"/>
  <c r="F97" i="4" s="1"/>
  <c r="E97" i="4"/>
  <c r="G97" i="4" s="1"/>
  <c r="R36" i="4"/>
  <c r="S36" i="4" s="1"/>
  <c r="H36" i="4"/>
  <c r="I36" i="4" s="1"/>
  <c r="R35" i="4"/>
  <c r="S35" i="4" s="1"/>
  <c r="H35" i="4"/>
  <c r="I35" i="4" s="1"/>
  <c r="R34" i="4"/>
  <c r="S34" i="4" s="1"/>
  <c r="H34" i="4"/>
  <c r="I34" i="4" s="1"/>
  <c r="R33" i="4"/>
  <c r="S33" i="4" s="1"/>
  <c r="H33" i="4"/>
  <c r="I33" i="4" s="1"/>
  <c r="R31" i="4"/>
  <c r="S31" i="4" s="1"/>
  <c r="H31" i="4"/>
  <c r="I31" i="4" s="1"/>
  <c r="R30" i="4"/>
  <c r="S30" i="4" s="1"/>
  <c r="H30" i="4"/>
  <c r="I30" i="4" s="1"/>
  <c r="R29" i="4"/>
  <c r="S29" i="4" s="1"/>
  <c r="H29" i="4"/>
  <c r="I29" i="4" s="1"/>
  <c r="R28" i="4"/>
  <c r="S28" i="4" s="1"/>
  <c r="H28" i="4"/>
  <c r="B28" i="4" s="1"/>
  <c r="R26" i="4"/>
  <c r="S26" i="4" s="1"/>
  <c r="H26" i="4"/>
  <c r="I26" i="4" s="1"/>
  <c r="R25" i="4"/>
  <c r="S25" i="4" s="1"/>
  <c r="H25" i="4"/>
  <c r="I25" i="4" s="1"/>
  <c r="R24" i="4"/>
  <c r="S24" i="4" s="1"/>
  <c r="H24" i="4"/>
  <c r="I24" i="4" s="1"/>
  <c r="R23" i="4"/>
  <c r="S23" i="4" s="1"/>
  <c r="H23" i="4"/>
  <c r="I23" i="4" s="1"/>
  <c r="R21" i="4"/>
  <c r="S21" i="4" s="1"/>
  <c r="H21" i="4"/>
  <c r="I21" i="4" s="1"/>
  <c r="R20" i="4"/>
  <c r="S20" i="4" s="1"/>
  <c r="H20" i="4"/>
  <c r="I20" i="4" s="1"/>
  <c r="R19" i="4"/>
  <c r="S19" i="4" s="1"/>
  <c r="H19" i="4"/>
  <c r="I19" i="4" s="1"/>
  <c r="R18" i="4"/>
  <c r="S18" i="4" s="1"/>
  <c r="H18" i="4"/>
  <c r="I18" i="4" s="1"/>
  <c r="R16" i="4"/>
  <c r="S16" i="4" s="1"/>
  <c r="H16" i="4"/>
  <c r="I16" i="4" s="1"/>
  <c r="R15" i="4"/>
  <c r="S15" i="4" s="1"/>
  <c r="H15" i="4"/>
  <c r="I15" i="4" s="1"/>
  <c r="R14" i="4"/>
  <c r="S14" i="4" s="1"/>
  <c r="H14" i="4"/>
  <c r="I14" i="4" s="1"/>
  <c r="R13" i="4"/>
  <c r="S13" i="4" s="1"/>
  <c r="H13" i="4"/>
  <c r="B13" i="4" s="1"/>
  <c r="R11" i="4"/>
  <c r="S11" i="4" s="1"/>
  <c r="H11" i="4"/>
  <c r="B11" i="4" s="1"/>
  <c r="R10" i="4"/>
  <c r="S10" i="4" s="1"/>
  <c r="H10" i="4"/>
  <c r="B10" i="4" s="1"/>
  <c r="R9" i="4"/>
  <c r="S9" i="4" s="1"/>
  <c r="H9" i="4"/>
  <c r="I9" i="4" s="1"/>
  <c r="R8" i="4"/>
  <c r="S8" i="4" s="1"/>
  <c r="H8" i="4"/>
  <c r="I8" i="4" s="1"/>
  <c r="R6" i="4"/>
  <c r="S6" i="4" s="1"/>
  <c r="R5" i="4"/>
  <c r="S5" i="4" s="1"/>
  <c r="R4" i="4"/>
  <c r="S4" i="4" s="1"/>
  <c r="R3" i="4"/>
  <c r="S3" i="4" s="1"/>
  <c r="H4" i="4"/>
  <c r="I4" i="4" s="1"/>
  <c r="H5" i="4"/>
  <c r="I5" i="4" s="1"/>
  <c r="H6" i="4"/>
  <c r="I6" i="4" s="1"/>
  <c r="H3" i="4"/>
  <c r="I3" i="4" s="1"/>
  <c r="E1252" i="4"/>
  <c r="G1252" i="4" s="1"/>
  <c r="D1252" i="4"/>
  <c r="F1252" i="4" s="1"/>
  <c r="E1247" i="4"/>
  <c r="G1247" i="4" s="1"/>
  <c r="D1247" i="4"/>
  <c r="F1247" i="4" s="1"/>
  <c r="E1242" i="4"/>
  <c r="G1242" i="4" s="1"/>
  <c r="D1242" i="4"/>
  <c r="F1242" i="4" s="1"/>
  <c r="E1237" i="4"/>
  <c r="G1237" i="4" s="1"/>
  <c r="D1237" i="4"/>
  <c r="F1237" i="4" s="1"/>
  <c r="E1232" i="4"/>
  <c r="G1232" i="4" s="1"/>
  <c r="D1232" i="4"/>
  <c r="F1232" i="4" s="1"/>
  <c r="E1227" i="4"/>
  <c r="G1227" i="4" s="1"/>
  <c r="D1227" i="4"/>
  <c r="F1227" i="4" s="1"/>
  <c r="E1222" i="4"/>
  <c r="G1222" i="4" s="1"/>
  <c r="D1222" i="4"/>
  <c r="F1222" i="4" s="1"/>
  <c r="E1217" i="4"/>
  <c r="G1217" i="4" s="1"/>
  <c r="D1217" i="4"/>
  <c r="F1217" i="4" s="1"/>
  <c r="E1212" i="4"/>
  <c r="G1212" i="4" s="1"/>
  <c r="D1212" i="4"/>
  <c r="F1212" i="4" s="1"/>
  <c r="E1207" i="4"/>
  <c r="G1207" i="4" s="1"/>
  <c r="D1207" i="4"/>
  <c r="F1207" i="4" s="1"/>
  <c r="E1202" i="4"/>
  <c r="G1202" i="4" s="1"/>
  <c r="D1202" i="4"/>
  <c r="F1202" i="4" s="1"/>
  <c r="E1197" i="4"/>
  <c r="G1197" i="4" s="1"/>
  <c r="D1197" i="4"/>
  <c r="F1197" i="4" s="1"/>
  <c r="E1192" i="4"/>
  <c r="G1192" i="4" s="1"/>
  <c r="D1192" i="4"/>
  <c r="F1192" i="4" s="1"/>
  <c r="E1187" i="4"/>
  <c r="G1187" i="4" s="1"/>
  <c r="D1187" i="4"/>
  <c r="F1187" i="4" s="1"/>
  <c r="E1182" i="4"/>
  <c r="G1182" i="4" s="1"/>
  <c r="D1182" i="4"/>
  <c r="F1182" i="4" s="1"/>
  <c r="E1177" i="4"/>
  <c r="G1177" i="4" s="1"/>
  <c r="D1177" i="4"/>
  <c r="F1177" i="4" s="1"/>
  <c r="E1172" i="4"/>
  <c r="G1172" i="4" s="1"/>
  <c r="D1172" i="4"/>
  <c r="F1172" i="4" s="1"/>
  <c r="E1167" i="4"/>
  <c r="G1167" i="4" s="1"/>
  <c r="D1167" i="4"/>
  <c r="F1167" i="4" s="1"/>
  <c r="E1162" i="4"/>
  <c r="G1162" i="4" s="1"/>
  <c r="D1162" i="4"/>
  <c r="F1162" i="4" s="1"/>
  <c r="E1157" i="4"/>
  <c r="G1157" i="4" s="1"/>
  <c r="D1157" i="4"/>
  <c r="F1157" i="4" s="1"/>
  <c r="E1152" i="4"/>
  <c r="G1152" i="4" s="1"/>
  <c r="D1152" i="4"/>
  <c r="F1152" i="4" s="1"/>
  <c r="E1147" i="4"/>
  <c r="G1147" i="4" s="1"/>
  <c r="D1147" i="4"/>
  <c r="F1147" i="4" s="1"/>
  <c r="E1142" i="4"/>
  <c r="G1142" i="4" s="1"/>
  <c r="D1142" i="4"/>
  <c r="F1142" i="4" s="1"/>
  <c r="E1137" i="4"/>
  <c r="G1137" i="4" s="1"/>
  <c r="D1137" i="4"/>
  <c r="F1137" i="4" s="1"/>
  <c r="E1132" i="4"/>
  <c r="G1132" i="4" s="1"/>
  <c r="D1132" i="4"/>
  <c r="F1132" i="4" s="1"/>
  <c r="E1127" i="4"/>
  <c r="G1127" i="4" s="1"/>
  <c r="D1127" i="4"/>
  <c r="F1127" i="4" s="1"/>
  <c r="E1122" i="4"/>
  <c r="G1122" i="4" s="1"/>
  <c r="D1122" i="4"/>
  <c r="F1122" i="4" s="1"/>
  <c r="E1117" i="4"/>
  <c r="G1117" i="4" s="1"/>
  <c r="D1117" i="4"/>
  <c r="F1117" i="4" s="1"/>
  <c r="E1112" i="4"/>
  <c r="G1112" i="4" s="1"/>
  <c r="D1112" i="4"/>
  <c r="F1112" i="4" s="1"/>
  <c r="E1107" i="4"/>
  <c r="G1107" i="4" s="1"/>
  <c r="D1107" i="4"/>
  <c r="F1107" i="4" s="1"/>
  <c r="E1102" i="4"/>
  <c r="G1102" i="4" s="1"/>
  <c r="D1102" i="4"/>
  <c r="F1102" i="4" s="1"/>
  <c r="E1097" i="4"/>
  <c r="G1097" i="4" s="1"/>
  <c r="D1097" i="4"/>
  <c r="F1097" i="4" s="1"/>
  <c r="E1092" i="4"/>
  <c r="G1092" i="4" s="1"/>
  <c r="D1092" i="4"/>
  <c r="F1092" i="4" s="1"/>
  <c r="E1087" i="4"/>
  <c r="G1087" i="4" s="1"/>
  <c r="D1087" i="4"/>
  <c r="F1087" i="4" s="1"/>
  <c r="E1082" i="4"/>
  <c r="G1082" i="4" s="1"/>
  <c r="D1082" i="4"/>
  <c r="F1082" i="4" s="1"/>
  <c r="E1077" i="4"/>
  <c r="G1077" i="4" s="1"/>
  <c r="D1077" i="4"/>
  <c r="F1077" i="4" s="1"/>
  <c r="E1072" i="4"/>
  <c r="G1072" i="4" s="1"/>
  <c r="D1072" i="4"/>
  <c r="F1072" i="4" s="1"/>
  <c r="E1067" i="4"/>
  <c r="G1067" i="4" s="1"/>
  <c r="D1067" i="4"/>
  <c r="F1067" i="4" s="1"/>
  <c r="E1062" i="4"/>
  <c r="G1062" i="4" s="1"/>
  <c r="D1062" i="4"/>
  <c r="F1062" i="4" s="1"/>
  <c r="E1057" i="4"/>
  <c r="G1057" i="4" s="1"/>
  <c r="D1057" i="4"/>
  <c r="F1057" i="4" s="1"/>
  <c r="E1052" i="4"/>
  <c r="G1052" i="4" s="1"/>
  <c r="D1052" i="4"/>
  <c r="F1052" i="4" s="1"/>
  <c r="E1047" i="4"/>
  <c r="G1047" i="4" s="1"/>
  <c r="D1047" i="4"/>
  <c r="F1047" i="4" s="1"/>
  <c r="E1042" i="4"/>
  <c r="G1042" i="4" s="1"/>
  <c r="D1042" i="4"/>
  <c r="F1042" i="4" s="1"/>
  <c r="E1037" i="4"/>
  <c r="G1037" i="4" s="1"/>
  <c r="D1037" i="4"/>
  <c r="F1037" i="4" s="1"/>
  <c r="E1032" i="4"/>
  <c r="G1032" i="4" s="1"/>
  <c r="D1032" i="4"/>
  <c r="F1032" i="4" s="1"/>
  <c r="E1027" i="4"/>
  <c r="G1027" i="4" s="1"/>
  <c r="D1027" i="4"/>
  <c r="F1027" i="4" s="1"/>
  <c r="E1022" i="4"/>
  <c r="G1022" i="4" s="1"/>
  <c r="D1022" i="4"/>
  <c r="F1022" i="4" s="1"/>
  <c r="E1017" i="4"/>
  <c r="G1017" i="4" s="1"/>
  <c r="D1017" i="4"/>
  <c r="F1017" i="4" s="1"/>
  <c r="E1012" i="4"/>
  <c r="G1012" i="4" s="1"/>
  <c r="D1012" i="4"/>
  <c r="F1012" i="4" s="1"/>
  <c r="E1007" i="4"/>
  <c r="G1007" i="4" s="1"/>
  <c r="D1007" i="4"/>
  <c r="F1007" i="4" s="1"/>
  <c r="E1002" i="4"/>
  <c r="G1002" i="4" s="1"/>
  <c r="D1002" i="4"/>
  <c r="F1002" i="4" s="1"/>
  <c r="E997" i="4"/>
  <c r="G997" i="4" s="1"/>
  <c r="D997" i="4"/>
  <c r="F997" i="4" s="1"/>
  <c r="E992" i="4"/>
  <c r="G992" i="4" s="1"/>
  <c r="D992" i="4"/>
  <c r="F992" i="4" s="1"/>
  <c r="E987" i="4"/>
  <c r="G987" i="4" s="1"/>
  <c r="D987" i="4"/>
  <c r="F987" i="4" s="1"/>
  <c r="E982" i="4"/>
  <c r="G982" i="4" s="1"/>
  <c r="D982" i="4"/>
  <c r="F982" i="4" s="1"/>
  <c r="E977" i="4"/>
  <c r="G977" i="4" s="1"/>
  <c r="D977" i="4"/>
  <c r="F977" i="4" s="1"/>
  <c r="E972" i="4"/>
  <c r="G972" i="4" s="1"/>
  <c r="D972" i="4"/>
  <c r="F972" i="4" s="1"/>
  <c r="E967" i="4"/>
  <c r="G967" i="4" s="1"/>
  <c r="D967" i="4"/>
  <c r="F967" i="4" s="1"/>
  <c r="E962" i="4"/>
  <c r="G962" i="4" s="1"/>
  <c r="D962" i="4"/>
  <c r="F962" i="4" s="1"/>
  <c r="E957" i="4"/>
  <c r="G957" i="4" s="1"/>
  <c r="D957" i="4"/>
  <c r="F957" i="4" s="1"/>
  <c r="E952" i="4"/>
  <c r="G952" i="4" s="1"/>
  <c r="D952" i="4"/>
  <c r="F952" i="4" s="1"/>
  <c r="E947" i="4"/>
  <c r="G947" i="4" s="1"/>
  <c r="D947" i="4"/>
  <c r="F947" i="4" s="1"/>
  <c r="E942" i="4"/>
  <c r="G942" i="4" s="1"/>
  <c r="D942" i="4"/>
  <c r="F942" i="4" s="1"/>
  <c r="E937" i="4"/>
  <c r="G937" i="4" s="1"/>
  <c r="D937" i="4"/>
  <c r="F937" i="4" s="1"/>
  <c r="E932" i="4"/>
  <c r="G932" i="4" s="1"/>
  <c r="D932" i="4"/>
  <c r="F932" i="4" s="1"/>
  <c r="E927" i="4"/>
  <c r="G927" i="4" s="1"/>
  <c r="D927" i="4"/>
  <c r="F927" i="4" s="1"/>
  <c r="E922" i="4"/>
  <c r="G922" i="4" s="1"/>
  <c r="D922" i="4"/>
  <c r="F922" i="4" s="1"/>
  <c r="E917" i="4"/>
  <c r="G917" i="4" s="1"/>
  <c r="D917" i="4"/>
  <c r="F917" i="4" s="1"/>
  <c r="E912" i="4"/>
  <c r="G912" i="4" s="1"/>
  <c r="D912" i="4"/>
  <c r="F912" i="4" s="1"/>
  <c r="E907" i="4"/>
  <c r="G907" i="4" s="1"/>
  <c r="D907" i="4"/>
  <c r="F907" i="4" s="1"/>
  <c r="E902" i="4"/>
  <c r="G902" i="4" s="1"/>
  <c r="D902" i="4"/>
  <c r="F902" i="4" s="1"/>
  <c r="E897" i="4"/>
  <c r="G897" i="4" s="1"/>
  <c r="D897" i="4"/>
  <c r="F897" i="4" s="1"/>
  <c r="E892" i="4"/>
  <c r="G892" i="4" s="1"/>
  <c r="D892" i="4"/>
  <c r="F892" i="4" s="1"/>
  <c r="E887" i="4"/>
  <c r="G887" i="4" s="1"/>
  <c r="D887" i="4"/>
  <c r="F887" i="4" s="1"/>
  <c r="E882" i="4"/>
  <c r="G882" i="4" s="1"/>
  <c r="D882" i="4"/>
  <c r="F882" i="4" s="1"/>
  <c r="E877" i="4"/>
  <c r="G877" i="4" s="1"/>
  <c r="D877" i="4"/>
  <c r="F877" i="4" s="1"/>
  <c r="E872" i="4"/>
  <c r="G872" i="4" s="1"/>
  <c r="D872" i="4"/>
  <c r="F872" i="4" s="1"/>
  <c r="E867" i="4"/>
  <c r="G867" i="4" s="1"/>
  <c r="D867" i="4"/>
  <c r="F867" i="4" s="1"/>
  <c r="E862" i="4"/>
  <c r="G862" i="4" s="1"/>
  <c r="D862" i="4"/>
  <c r="F862" i="4" s="1"/>
  <c r="E857" i="4"/>
  <c r="G857" i="4" s="1"/>
  <c r="D857" i="4"/>
  <c r="F857" i="4" s="1"/>
  <c r="E852" i="4"/>
  <c r="G852" i="4" s="1"/>
  <c r="D852" i="4"/>
  <c r="F852" i="4" s="1"/>
  <c r="E847" i="4"/>
  <c r="G847" i="4" s="1"/>
  <c r="D847" i="4"/>
  <c r="F847" i="4" s="1"/>
  <c r="E842" i="4"/>
  <c r="G842" i="4" s="1"/>
  <c r="D842" i="4"/>
  <c r="F842" i="4" s="1"/>
  <c r="E837" i="4"/>
  <c r="G837" i="4" s="1"/>
  <c r="D837" i="4"/>
  <c r="F837" i="4" s="1"/>
  <c r="E832" i="4"/>
  <c r="G832" i="4" s="1"/>
  <c r="D832" i="4"/>
  <c r="F832" i="4" s="1"/>
  <c r="E827" i="4"/>
  <c r="G827" i="4" s="1"/>
  <c r="D827" i="4"/>
  <c r="F827" i="4" s="1"/>
  <c r="E822" i="4"/>
  <c r="G822" i="4" s="1"/>
  <c r="D822" i="4"/>
  <c r="F822" i="4" s="1"/>
  <c r="E817" i="4"/>
  <c r="G817" i="4" s="1"/>
  <c r="D817" i="4"/>
  <c r="F817" i="4" s="1"/>
  <c r="E812" i="4"/>
  <c r="G812" i="4" s="1"/>
  <c r="D812" i="4"/>
  <c r="F812" i="4" s="1"/>
  <c r="E807" i="4"/>
  <c r="G807" i="4" s="1"/>
  <c r="D807" i="4"/>
  <c r="F807" i="4" s="1"/>
  <c r="E802" i="4"/>
  <c r="G802" i="4" s="1"/>
  <c r="D802" i="4"/>
  <c r="F802" i="4" s="1"/>
  <c r="E797" i="4"/>
  <c r="G797" i="4" s="1"/>
  <c r="D797" i="4"/>
  <c r="F797" i="4" s="1"/>
  <c r="E792" i="4"/>
  <c r="G792" i="4" s="1"/>
  <c r="D792" i="4"/>
  <c r="F792" i="4" s="1"/>
  <c r="E787" i="4"/>
  <c r="G787" i="4" s="1"/>
  <c r="D787" i="4"/>
  <c r="F787" i="4" s="1"/>
  <c r="E782" i="4"/>
  <c r="G782" i="4" s="1"/>
  <c r="D782" i="4"/>
  <c r="F782" i="4" s="1"/>
  <c r="E777" i="4"/>
  <c r="G777" i="4" s="1"/>
  <c r="D777" i="4"/>
  <c r="F777" i="4" s="1"/>
  <c r="E772" i="4"/>
  <c r="G772" i="4" s="1"/>
  <c r="D772" i="4"/>
  <c r="F772" i="4" s="1"/>
  <c r="E767" i="4"/>
  <c r="G767" i="4" s="1"/>
  <c r="D767" i="4"/>
  <c r="F767" i="4" s="1"/>
  <c r="E762" i="4"/>
  <c r="G762" i="4" s="1"/>
  <c r="D762" i="4"/>
  <c r="F762" i="4" s="1"/>
  <c r="E757" i="4"/>
  <c r="G757" i="4" s="1"/>
  <c r="D757" i="4"/>
  <c r="F757" i="4" s="1"/>
  <c r="E752" i="4"/>
  <c r="G752" i="4" s="1"/>
  <c r="D752" i="4"/>
  <c r="F752" i="4" s="1"/>
  <c r="E747" i="4"/>
  <c r="G747" i="4" s="1"/>
  <c r="D747" i="4"/>
  <c r="F747" i="4" s="1"/>
  <c r="E742" i="4"/>
  <c r="G742" i="4" s="1"/>
  <c r="D742" i="4"/>
  <c r="F742" i="4" s="1"/>
  <c r="E737" i="4"/>
  <c r="G737" i="4" s="1"/>
  <c r="D737" i="4"/>
  <c r="F737" i="4" s="1"/>
  <c r="E732" i="4"/>
  <c r="G732" i="4" s="1"/>
  <c r="D732" i="4"/>
  <c r="F732" i="4" s="1"/>
  <c r="E727" i="4"/>
  <c r="G727" i="4" s="1"/>
  <c r="D727" i="4"/>
  <c r="F727" i="4" s="1"/>
  <c r="E722" i="4"/>
  <c r="G722" i="4" s="1"/>
  <c r="D722" i="4"/>
  <c r="F722" i="4" s="1"/>
  <c r="E717" i="4"/>
  <c r="G717" i="4" s="1"/>
  <c r="D717" i="4"/>
  <c r="F717" i="4" s="1"/>
  <c r="E712" i="4"/>
  <c r="G712" i="4" s="1"/>
  <c r="D712" i="4"/>
  <c r="F712" i="4" s="1"/>
  <c r="E707" i="4"/>
  <c r="G707" i="4" s="1"/>
  <c r="D707" i="4"/>
  <c r="F707" i="4" s="1"/>
  <c r="E702" i="4"/>
  <c r="G702" i="4" s="1"/>
  <c r="D702" i="4"/>
  <c r="F702" i="4" s="1"/>
  <c r="E697" i="4"/>
  <c r="G697" i="4" s="1"/>
  <c r="D697" i="4"/>
  <c r="F697" i="4" s="1"/>
  <c r="E692" i="4"/>
  <c r="G692" i="4" s="1"/>
  <c r="D692" i="4"/>
  <c r="F692" i="4" s="1"/>
  <c r="E687" i="4"/>
  <c r="G687" i="4" s="1"/>
  <c r="D687" i="4"/>
  <c r="F687" i="4" s="1"/>
  <c r="E682" i="4"/>
  <c r="G682" i="4" s="1"/>
  <c r="D682" i="4"/>
  <c r="F682" i="4" s="1"/>
  <c r="E677" i="4"/>
  <c r="G677" i="4" s="1"/>
  <c r="D677" i="4"/>
  <c r="F677" i="4" s="1"/>
  <c r="E672" i="4"/>
  <c r="G672" i="4" s="1"/>
  <c r="D672" i="4"/>
  <c r="F672" i="4" s="1"/>
  <c r="E667" i="4"/>
  <c r="G667" i="4" s="1"/>
  <c r="D667" i="4"/>
  <c r="F667" i="4" s="1"/>
  <c r="E662" i="4"/>
  <c r="G662" i="4" s="1"/>
  <c r="D662" i="4"/>
  <c r="F662" i="4" s="1"/>
  <c r="E657" i="4"/>
  <c r="G657" i="4" s="1"/>
  <c r="D657" i="4"/>
  <c r="F657" i="4" s="1"/>
  <c r="E652" i="4"/>
  <c r="G652" i="4" s="1"/>
  <c r="D652" i="4"/>
  <c r="F652" i="4" s="1"/>
  <c r="E647" i="4"/>
  <c r="G647" i="4" s="1"/>
  <c r="D647" i="4"/>
  <c r="F647" i="4" s="1"/>
  <c r="E642" i="4"/>
  <c r="G642" i="4" s="1"/>
  <c r="D642" i="4"/>
  <c r="F642" i="4" s="1"/>
  <c r="E637" i="4"/>
  <c r="G637" i="4" s="1"/>
  <c r="D637" i="4"/>
  <c r="F637" i="4" s="1"/>
  <c r="E632" i="4"/>
  <c r="G632" i="4" s="1"/>
  <c r="D632" i="4"/>
  <c r="F632" i="4" s="1"/>
  <c r="E627" i="4"/>
  <c r="G627" i="4" s="1"/>
  <c r="D627" i="4"/>
  <c r="F627" i="4" s="1"/>
  <c r="E622" i="4"/>
  <c r="G622" i="4" s="1"/>
  <c r="D622" i="4"/>
  <c r="F622" i="4" s="1"/>
  <c r="E617" i="4"/>
  <c r="G617" i="4" s="1"/>
  <c r="D617" i="4"/>
  <c r="F617" i="4" s="1"/>
  <c r="E612" i="4"/>
  <c r="G612" i="4" s="1"/>
  <c r="D612" i="4"/>
  <c r="F612" i="4" s="1"/>
  <c r="E607" i="4"/>
  <c r="G607" i="4" s="1"/>
  <c r="D607" i="4"/>
  <c r="F607" i="4" s="1"/>
  <c r="E602" i="4"/>
  <c r="G602" i="4" s="1"/>
  <c r="D602" i="4"/>
  <c r="F602" i="4" s="1"/>
  <c r="E597" i="4"/>
  <c r="G597" i="4" s="1"/>
  <c r="D597" i="4"/>
  <c r="F597" i="4" s="1"/>
  <c r="E592" i="4"/>
  <c r="G592" i="4" s="1"/>
  <c r="D592" i="4"/>
  <c r="F592" i="4" s="1"/>
  <c r="E587" i="4"/>
  <c r="G587" i="4" s="1"/>
  <c r="D587" i="4"/>
  <c r="F587" i="4" s="1"/>
  <c r="E582" i="4"/>
  <c r="G582" i="4" s="1"/>
  <c r="D582" i="4"/>
  <c r="F582" i="4" s="1"/>
  <c r="E577" i="4"/>
  <c r="G577" i="4" s="1"/>
  <c r="D577" i="4"/>
  <c r="F577" i="4" s="1"/>
  <c r="E572" i="4"/>
  <c r="G572" i="4" s="1"/>
  <c r="D572" i="4"/>
  <c r="F572" i="4" s="1"/>
  <c r="E567" i="4"/>
  <c r="G567" i="4" s="1"/>
  <c r="D567" i="4"/>
  <c r="F567" i="4" s="1"/>
  <c r="E562" i="4"/>
  <c r="G562" i="4" s="1"/>
  <c r="D562" i="4"/>
  <c r="F562" i="4" s="1"/>
  <c r="E557" i="4"/>
  <c r="G557" i="4" s="1"/>
  <c r="D557" i="4"/>
  <c r="F557" i="4" s="1"/>
  <c r="E552" i="4"/>
  <c r="G552" i="4" s="1"/>
  <c r="D552" i="4"/>
  <c r="F552" i="4" s="1"/>
  <c r="E547" i="4"/>
  <c r="G547" i="4" s="1"/>
  <c r="D547" i="4"/>
  <c r="F547" i="4" s="1"/>
  <c r="E542" i="4"/>
  <c r="G542" i="4" s="1"/>
  <c r="D542" i="4"/>
  <c r="F542" i="4" s="1"/>
  <c r="E537" i="4"/>
  <c r="G537" i="4" s="1"/>
  <c r="D537" i="4"/>
  <c r="F537" i="4" s="1"/>
  <c r="E532" i="4"/>
  <c r="G532" i="4" s="1"/>
  <c r="D532" i="4"/>
  <c r="F532" i="4" s="1"/>
  <c r="E527" i="4"/>
  <c r="G527" i="4" s="1"/>
  <c r="D527" i="4"/>
  <c r="F527" i="4" s="1"/>
  <c r="E522" i="4"/>
  <c r="G522" i="4" s="1"/>
  <c r="D522" i="4"/>
  <c r="F522" i="4" s="1"/>
  <c r="E517" i="4"/>
  <c r="G517" i="4" s="1"/>
  <c r="D517" i="4"/>
  <c r="F517" i="4" s="1"/>
  <c r="E507" i="4"/>
  <c r="G507" i="4" s="1"/>
  <c r="D507" i="4"/>
  <c r="F507" i="4" s="1"/>
  <c r="E502" i="4"/>
  <c r="G502" i="4" s="1"/>
  <c r="D502" i="4"/>
  <c r="F502" i="4" s="1"/>
  <c r="E497" i="4"/>
  <c r="G497" i="4" s="1"/>
  <c r="D497" i="4"/>
  <c r="F497" i="4" s="1"/>
  <c r="E492" i="4"/>
  <c r="G492" i="4" s="1"/>
  <c r="D492" i="4"/>
  <c r="F492" i="4" s="1"/>
  <c r="E487" i="4"/>
  <c r="G487" i="4" s="1"/>
  <c r="D487" i="4"/>
  <c r="F487" i="4" s="1"/>
  <c r="E482" i="4"/>
  <c r="G482" i="4" s="1"/>
  <c r="D482" i="4"/>
  <c r="F482" i="4" s="1"/>
  <c r="E477" i="4"/>
  <c r="G477" i="4" s="1"/>
  <c r="D477" i="4"/>
  <c r="F477" i="4" s="1"/>
  <c r="E472" i="4"/>
  <c r="G472" i="4" s="1"/>
  <c r="D472" i="4"/>
  <c r="F472" i="4" s="1"/>
  <c r="E467" i="4"/>
  <c r="G467" i="4" s="1"/>
  <c r="D467" i="4"/>
  <c r="F467" i="4" s="1"/>
  <c r="E462" i="4"/>
  <c r="G462" i="4" s="1"/>
  <c r="D462" i="4"/>
  <c r="F462" i="4" s="1"/>
  <c r="E457" i="4"/>
  <c r="G457" i="4" s="1"/>
  <c r="D457" i="4"/>
  <c r="F457" i="4" s="1"/>
  <c r="E452" i="4"/>
  <c r="G452" i="4" s="1"/>
  <c r="D452" i="4"/>
  <c r="F452" i="4" s="1"/>
  <c r="E447" i="4"/>
  <c r="G447" i="4" s="1"/>
  <c r="D447" i="4"/>
  <c r="F447" i="4" s="1"/>
  <c r="E442" i="4"/>
  <c r="G442" i="4" s="1"/>
  <c r="D442" i="4"/>
  <c r="F442" i="4" s="1"/>
  <c r="E437" i="4"/>
  <c r="G437" i="4" s="1"/>
  <c r="D437" i="4"/>
  <c r="F437" i="4" s="1"/>
  <c r="E432" i="4"/>
  <c r="G432" i="4" s="1"/>
  <c r="D432" i="4"/>
  <c r="F432" i="4" s="1"/>
  <c r="E427" i="4"/>
  <c r="G427" i="4" s="1"/>
  <c r="D427" i="4"/>
  <c r="F427" i="4" s="1"/>
  <c r="E422" i="4"/>
  <c r="G422" i="4" s="1"/>
  <c r="D422" i="4"/>
  <c r="F422" i="4" s="1"/>
  <c r="E417" i="4"/>
  <c r="G417" i="4" s="1"/>
  <c r="D417" i="4"/>
  <c r="F417" i="4" s="1"/>
  <c r="E412" i="4"/>
  <c r="G412" i="4" s="1"/>
  <c r="D412" i="4"/>
  <c r="F412" i="4" s="1"/>
  <c r="E407" i="4"/>
  <c r="G407" i="4" s="1"/>
  <c r="D407" i="4"/>
  <c r="F407" i="4" s="1"/>
  <c r="E402" i="4"/>
  <c r="G402" i="4" s="1"/>
  <c r="D402" i="4"/>
  <c r="F402" i="4" s="1"/>
  <c r="E397" i="4"/>
  <c r="G397" i="4" s="1"/>
  <c r="D397" i="4"/>
  <c r="F397" i="4" s="1"/>
  <c r="E392" i="4"/>
  <c r="G392" i="4" s="1"/>
  <c r="D392" i="4"/>
  <c r="F392" i="4" s="1"/>
  <c r="E387" i="4"/>
  <c r="G387" i="4" s="1"/>
  <c r="D387" i="4"/>
  <c r="F387" i="4" s="1"/>
  <c r="E382" i="4"/>
  <c r="G382" i="4" s="1"/>
  <c r="D382" i="4"/>
  <c r="F382" i="4" s="1"/>
  <c r="E377" i="4"/>
  <c r="G377" i="4" s="1"/>
  <c r="D377" i="4"/>
  <c r="F377" i="4" s="1"/>
  <c r="E372" i="4"/>
  <c r="G372" i="4" s="1"/>
  <c r="D372" i="4"/>
  <c r="F372" i="4" s="1"/>
  <c r="E367" i="4"/>
  <c r="G367" i="4" s="1"/>
  <c r="D367" i="4"/>
  <c r="F367" i="4" s="1"/>
  <c r="E362" i="4"/>
  <c r="G362" i="4" s="1"/>
  <c r="D362" i="4"/>
  <c r="F362" i="4" s="1"/>
  <c r="E357" i="4"/>
  <c r="G357" i="4" s="1"/>
  <c r="D357" i="4"/>
  <c r="F357" i="4" s="1"/>
  <c r="E352" i="4"/>
  <c r="G352" i="4" s="1"/>
  <c r="D352" i="4"/>
  <c r="F352" i="4" s="1"/>
  <c r="E347" i="4"/>
  <c r="G347" i="4" s="1"/>
  <c r="D347" i="4"/>
  <c r="F347" i="4" s="1"/>
  <c r="E342" i="4"/>
  <c r="G342" i="4" s="1"/>
  <c r="D342" i="4"/>
  <c r="F342" i="4" s="1"/>
  <c r="E337" i="4"/>
  <c r="G337" i="4" s="1"/>
  <c r="D337" i="4"/>
  <c r="F337" i="4" s="1"/>
  <c r="E332" i="4"/>
  <c r="G332" i="4" s="1"/>
  <c r="D332" i="4"/>
  <c r="F332" i="4" s="1"/>
  <c r="E327" i="4"/>
  <c r="G327" i="4" s="1"/>
  <c r="D327" i="4"/>
  <c r="F327" i="4" s="1"/>
  <c r="E322" i="4"/>
  <c r="G322" i="4" s="1"/>
  <c r="D322" i="4"/>
  <c r="F322" i="4" s="1"/>
  <c r="E317" i="4"/>
  <c r="G317" i="4" s="1"/>
  <c r="D317" i="4"/>
  <c r="F317" i="4" s="1"/>
  <c r="E312" i="4"/>
  <c r="G312" i="4" s="1"/>
  <c r="D312" i="4"/>
  <c r="F312" i="4" s="1"/>
  <c r="E307" i="4"/>
  <c r="G307" i="4" s="1"/>
  <c r="D307" i="4"/>
  <c r="F307" i="4" s="1"/>
  <c r="E302" i="4"/>
  <c r="G302" i="4" s="1"/>
  <c r="D302" i="4"/>
  <c r="F302" i="4" s="1"/>
  <c r="E297" i="4"/>
  <c r="G297" i="4" s="1"/>
  <c r="D297" i="4"/>
  <c r="F297" i="4" s="1"/>
  <c r="E292" i="4"/>
  <c r="G292" i="4" s="1"/>
  <c r="D292" i="4"/>
  <c r="F292" i="4" s="1"/>
  <c r="E287" i="4"/>
  <c r="G287" i="4" s="1"/>
  <c r="D287" i="4"/>
  <c r="F287" i="4" s="1"/>
  <c r="E282" i="4"/>
  <c r="G282" i="4" s="1"/>
  <c r="D282" i="4"/>
  <c r="F282" i="4" s="1"/>
  <c r="E277" i="4"/>
  <c r="G277" i="4" s="1"/>
  <c r="D277" i="4"/>
  <c r="F277" i="4" s="1"/>
  <c r="E272" i="4"/>
  <c r="G272" i="4" s="1"/>
  <c r="D272" i="4"/>
  <c r="F272" i="4" s="1"/>
  <c r="E267" i="4"/>
  <c r="G267" i="4" s="1"/>
  <c r="D267" i="4"/>
  <c r="F267" i="4" s="1"/>
  <c r="E262" i="4"/>
  <c r="G262" i="4" s="1"/>
  <c r="D262" i="4"/>
  <c r="F262" i="4" s="1"/>
  <c r="E257" i="4"/>
  <c r="G257" i="4" s="1"/>
  <c r="D257" i="4"/>
  <c r="F257" i="4" s="1"/>
  <c r="E252" i="4"/>
  <c r="G252" i="4" s="1"/>
  <c r="D252" i="4"/>
  <c r="F252" i="4" s="1"/>
  <c r="E247" i="4"/>
  <c r="G247" i="4" s="1"/>
  <c r="D247" i="4"/>
  <c r="F247" i="4" s="1"/>
  <c r="E242" i="4"/>
  <c r="G242" i="4" s="1"/>
  <c r="D242" i="4"/>
  <c r="F242" i="4" s="1"/>
  <c r="E237" i="4"/>
  <c r="G237" i="4" s="1"/>
  <c r="D237" i="4"/>
  <c r="F237" i="4" s="1"/>
  <c r="E232" i="4"/>
  <c r="G232" i="4" s="1"/>
  <c r="D232" i="4"/>
  <c r="F232" i="4" s="1"/>
  <c r="E227" i="4"/>
  <c r="G227" i="4" s="1"/>
  <c r="D227" i="4"/>
  <c r="F227" i="4" s="1"/>
  <c r="E222" i="4"/>
  <c r="G222" i="4" s="1"/>
  <c r="D222" i="4"/>
  <c r="F222" i="4" s="1"/>
  <c r="E217" i="4"/>
  <c r="G217" i="4" s="1"/>
  <c r="D217" i="4"/>
  <c r="F217" i="4" s="1"/>
  <c r="E212" i="4"/>
  <c r="G212" i="4" s="1"/>
  <c r="D212" i="4"/>
  <c r="F212" i="4" s="1"/>
  <c r="E207" i="4"/>
  <c r="G207" i="4" s="1"/>
  <c r="D207" i="4"/>
  <c r="F207" i="4" s="1"/>
  <c r="E202" i="4"/>
  <c r="G202" i="4" s="1"/>
  <c r="D202" i="4"/>
  <c r="F202" i="4" s="1"/>
  <c r="E197" i="4"/>
  <c r="G197" i="4" s="1"/>
  <c r="D197" i="4"/>
  <c r="F197" i="4" s="1"/>
  <c r="E192" i="4"/>
  <c r="G192" i="4" s="1"/>
  <c r="D192" i="4"/>
  <c r="F192" i="4" s="1"/>
  <c r="E187" i="4"/>
  <c r="G187" i="4" s="1"/>
  <c r="D187" i="4"/>
  <c r="F187" i="4" s="1"/>
  <c r="E182" i="4"/>
  <c r="G182" i="4" s="1"/>
  <c r="D182" i="4"/>
  <c r="F182" i="4" s="1"/>
  <c r="E177" i="4"/>
  <c r="G177" i="4" s="1"/>
  <c r="D177" i="4"/>
  <c r="F177" i="4" s="1"/>
  <c r="E172" i="4"/>
  <c r="G172" i="4" s="1"/>
  <c r="D172" i="4"/>
  <c r="F172" i="4" s="1"/>
  <c r="E167" i="4"/>
  <c r="G167" i="4" s="1"/>
  <c r="D167" i="4"/>
  <c r="F167" i="4" s="1"/>
  <c r="E162" i="4"/>
  <c r="G162" i="4" s="1"/>
  <c r="D162" i="4"/>
  <c r="F162" i="4" s="1"/>
  <c r="E157" i="4"/>
  <c r="G157" i="4" s="1"/>
  <c r="D157" i="4"/>
  <c r="F157" i="4" s="1"/>
  <c r="E152" i="4"/>
  <c r="G152" i="4" s="1"/>
  <c r="D152" i="4"/>
  <c r="F152" i="4" s="1"/>
  <c r="E147" i="4"/>
  <c r="G147" i="4" s="1"/>
  <c r="D147" i="4"/>
  <c r="F147" i="4" s="1"/>
  <c r="E142" i="4"/>
  <c r="G142" i="4" s="1"/>
  <c r="D142" i="4"/>
  <c r="F142" i="4" s="1"/>
  <c r="E137" i="4"/>
  <c r="G137" i="4" s="1"/>
  <c r="D137" i="4"/>
  <c r="F137" i="4" s="1"/>
  <c r="E132" i="4"/>
  <c r="G132" i="4" s="1"/>
  <c r="D132" i="4"/>
  <c r="F132" i="4" s="1"/>
  <c r="E127" i="4"/>
  <c r="G127" i="4" s="1"/>
  <c r="D127" i="4"/>
  <c r="F127" i="4" s="1"/>
  <c r="E122" i="4"/>
  <c r="G122" i="4" s="1"/>
  <c r="D122" i="4"/>
  <c r="F122" i="4" s="1"/>
  <c r="E117" i="4"/>
  <c r="G117" i="4" s="1"/>
  <c r="D117" i="4"/>
  <c r="F117" i="4" s="1"/>
  <c r="E112" i="4"/>
  <c r="G112" i="4" s="1"/>
  <c r="D112" i="4"/>
  <c r="F112" i="4" s="1"/>
  <c r="E107" i="4"/>
  <c r="G107" i="4" s="1"/>
  <c r="D107" i="4"/>
  <c r="F107" i="4" s="1"/>
  <c r="E102" i="4"/>
  <c r="G102" i="4" s="1"/>
  <c r="D102" i="4"/>
  <c r="F102" i="4" s="1"/>
  <c r="E92" i="4"/>
  <c r="G92" i="4" s="1"/>
  <c r="D92" i="4"/>
  <c r="F92" i="4" s="1"/>
  <c r="E87" i="4"/>
  <c r="G87" i="4" s="1"/>
  <c r="D87" i="4"/>
  <c r="F87" i="4" s="1"/>
  <c r="E82" i="4"/>
  <c r="G82" i="4" s="1"/>
  <c r="D82" i="4"/>
  <c r="F82" i="4" s="1"/>
  <c r="E77" i="4"/>
  <c r="G77" i="4" s="1"/>
  <c r="D77" i="4"/>
  <c r="F77" i="4" s="1"/>
  <c r="E72" i="4"/>
  <c r="G72" i="4" s="1"/>
  <c r="D72" i="4"/>
  <c r="F72" i="4" s="1"/>
  <c r="E67" i="4"/>
  <c r="G67" i="4" s="1"/>
  <c r="D67" i="4"/>
  <c r="F67" i="4" s="1"/>
  <c r="E62" i="4"/>
  <c r="G62" i="4" s="1"/>
  <c r="D62" i="4"/>
  <c r="F62" i="4" s="1"/>
  <c r="E57" i="4"/>
  <c r="G57" i="4" s="1"/>
  <c r="D57" i="4"/>
  <c r="F57" i="4" s="1"/>
  <c r="E52" i="4"/>
  <c r="G52" i="4" s="1"/>
  <c r="D52" i="4"/>
  <c r="F52" i="4" s="1"/>
  <c r="E47" i="4"/>
  <c r="G47" i="4" s="1"/>
  <c r="D47" i="4"/>
  <c r="F47" i="4" s="1"/>
  <c r="E42" i="4"/>
  <c r="G42" i="4" s="1"/>
  <c r="D42" i="4"/>
  <c r="F42" i="4" s="1"/>
  <c r="E37" i="4"/>
  <c r="G37" i="4" s="1"/>
  <c r="D37" i="4"/>
  <c r="F37" i="4" s="1"/>
  <c r="E32" i="4"/>
  <c r="G32" i="4" s="1"/>
  <c r="D32" i="4"/>
  <c r="F32" i="4" s="1"/>
  <c r="E27" i="4"/>
  <c r="G27" i="4" s="1"/>
  <c r="D27" i="4"/>
  <c r="F27" i="4" s="1"/>
  <c r="E22" i="4"/>
  <c r="G22" i="4" s="1"/>
  <c r="D22" i="4"/>
  <c r="F22" i="4" s="1"/>
  <c r="E17" i="4"/>
  <c r="G17" i="4" s="1"/>
  <c r="D17" i="4"/>
  <c r="F17" i="4" s="1"/>
  <c r="E12" i="4"/>
  <c r="G12" i="4" s="1"/>
  <c r="D12" i="4"/>
  <c r="F12" i="4" s="1"/>
  <c r="E7" i="4"/>
  <c r="G7" i="4" s="1"/>
  <c r="D7" i="4"/>
  <c r="F7" i="4" s="1"/>
  <c r="E2" i="4"/>
  <c r="G2" i="4" s="1"/>
  <c r="D2" i="4"/>
  <c r="F2" i="4" s="1"/>
  <c r="J603" i="4" l="1"/>
  <c r="J1018" i="4"/>
  <c r="J1023" i="4"/>
  <c r="L733" i="4"/>
  <c r="I697" i="4"/>
  <c r="J748" i="4"/>
  <c r="T65" i="4"/>
  <c r="B69" i="4"/>
  <c r="L978" i="4"/>
  <c r="J30" i="4"/>
  <c r="I386" i="4"/>
  <c r="L709" i="4"/>
  <c r="T163" i="4"/>
  <c r="T188" i="4"/>
  <c r="J705" i="4"/>
  <c r="T285" i="4"/>
  <c r="T300" i="4"/>
  <c r="T588" i="4"/>
  <c r="B351" i="4"/>
  <c r="B946" i="4"/>
  <c r="I806" i="4"/>
  <c r="L200" i="4"/>
  <c r="L723" i="4"/>
  <c r="L756" i="4"/>
  <c r="L790" i="4"/>
  <c r="B1044" i="4"/>
  <c r="B1158" i="4"/>
  <c r="L93" i="4"/>
  <c r="J255" i="4"/>
  <c r="L168" i="4"/>
  <c r="B208" i="4"/>
  <c r="L708" i="4"/>
  <c r="J1180" i="4"/>
  <c r="L204" i="4"/>
  <c r="T208" i="4"/>
  <c r="L585" i="4"/>
  <c r="B660" i="4"/>
  <c r="J1058" i="4"/>
  <c r="B1166" i="4"/>
  <c r="B494" i="4"/>
  <c r="L43" i="4"/>
  <c r="J330" i="4"/>
  <c r="L488" i="4"/>
  <c r="L656" i="4"/>
  <c r="L694" i="4"/>
  <c r="J745" i="4"/>
  <c r="I978" i="4"/>
  <c r="J978" i="4" s="1"/>
  <c r="L1093" i="4"/>
  <c r="L1183" i="4"/>
  <c r="L1179" i="4"/>
  <c r="L1198" i="4"/>
  <c r="B575" i="4"/>
  <c r="L858" i="4"/>
  <c r="B863" i="4"/>
  <c r="I881" i="4"/>
  <c r="B886" i="4"/>
  <c r="I940" i="4"/>
  <c r="J940" i="4" s="1"/>
  <c r="L993" i="4"/>
  <c r="L1011" i="4"/>
  <c r="B538" i="4"/>
  <c r="J790" i="4"/>
  <c r="B1095" i="4"/>
  <c r="I166" i="4"/>
  <c r="J165" i="4" s="1"/>
  <c r="J595" i="4"/>
  <c r="J650" i="4"/>
  <c r="L659" i="4"/>
  <c r="L701" i="4"/>
  <c r="B706" i="4"/>
  <c r="B216" i="4"/>
  <c r="L240" i="4"/>
  <c r="B245" i="4"/>
  <c r="L259" i="4"/>
  <c r="L378" i="4"/>
  <c r="L519" i="4"/>
  <c r="L558" i="4"/>
  <c r="L576" i="4"/>
  <c r="T655" i="4"/>
  <c r="L768" i="4"/>
  <c r="L786" i="4"/>
  <c r="L795" i="4"/>
  <c r="B1005" i="4"/>
  <c r="L1100" i="4"/>
  <c r="B1110" i="4"/>
  <c r="I711" i="4"/>
  <c r="I814" i="4"/>
  <c r="I846" i="4"/>
  <c r="I220" i="4"/>
  <c r="B44" i="4"/>
  <c r="L66" i="4"/>
  <c r="L75" i="4"/>
  <c r="L128" i="4"/>
  <c r="L146" i="4"/>
  <c r="L225" i="4"/>
  <c r="I305" i="4"/>
  <c r="J310" i="4"/>
  <c r="L484" i="4"/>
  <c r="I512" i="4"/>
  <c r="L589" i="4"/>
  <c r="L618" i="4"/>
  <c r="B623" i="4"/>
  <c r="L676" i="4"/>
  <c r="L750" i="4"/>
  <c r="L828" i="4"/>
  <c r="L860" i="4"/>
  <c r="B874" i="4"/>
  <c r="L935" i="4"/>
  <c r="I944" i="4"/>
  <c r="L953" i="4"/>
  <c r="B995" i="4"/>
  <c r="I1004" i="4"/>
  <c r="L1068" i="4"/>
  <c r="B1078" i="4"/>
  <c r="T1170" i="4"/>
  <c r="L334" i="4"/>
  <c r="B426" i="4"/>
  <c r="L440" i="4"/>
  <c r="B530" i="4"/>
  <c r="L538" i="4"/>
  <c r="L788" i="4"/>
  <c r="B865" i="4"/>
  <c r="B893" i="4"/>
  <c r="L1018" i="4"/>
  <c r="B1031" i="4"/>
  <c r="L49" i="4"/>
  <c r="L171" i="4"/>
  <c r="I264" i="4"/>
  <c r="B279" i="4"/>
  <c r="I303" i="4"/>
  <c r="L311" i="4"/>
  <c r="B340" i="4"/>
  <c r="L508" i="4"/>
  <c r="B518" i="4"/>
  <c r="B629" i="4"/>
  <c r="L643" i="4"/>
  <c r="L669" i="4"/>
  <c r="B816" i="4"/>
  <c r="T1045" i="4"/>
  <c r="B1178" i="4"/>
  <c r="T115" i="4"/>
  <c r="T223" i="4"/>
  <c r="B238" i="4"/>
  <c r="L321" i="4"/>
  <c r="B531" i="4"/>
  <c r="B591" i="4"/>
  <c r="T605" i="4"/>
  <c r="B826" i="4"/>
  <c r="I849" i="4"/>
  <c r="J955" i="4"/>
  <c r="B984" i="4"/>
  <c r="B1061" i="4"/>
  <c r="J65" i="4"/>
  <c r="L78" i="4"/>
  <c r="L106" i="4"/>
  <c r="I135" i="4"/>
  <c r="L215" i="4"/>
  <c r="T233" i="4"/>
  <c r="J540" i="4"/>
  <c r="L679" i="4"/>
  <c r="B841" i="4"/>
  <c r="L859" i="4"/>
  <c r="L899" i="4"/>
  <c r="J1020" i="4"/>
  <c r="L1029" i="4"/>
  <c r="L1038" i="4"/>
  <c r="L1111" i="4"/>
  <c r="L1169" i="4"/>
  <c r="T1178" i="4"/>
  <c r="B290" i="4"/>
  <c r="B204" i="4"/>
  <c r="B35" i="4"/>
  <c r="J40" i="4"/>
  <c r="T1255" i="4"/>
  <c r="L1254" i="4"/>
  <c r="L1250" i="4"/>
  <c r="J1235" i="4"/>
  <c r="B1236" i="4"/>
  <c r="I1196" i="4"/>
  <c r="I1194" i="4"/>
  <c r="L1190" i="4"/>
  <c r="B1189" i="4"/>
  <c r="J1188" i="4"/>
  <c r="T1185" i="4"/>
  <c r="L1186" i="4"/>
  <c r="B1185" i="4"/>
  <c r="B1181" i="4"/>
  <c r="L1171" i="4"/>
  <c r="T1165" i="4"/>
  <c r="L1164" i="4"/>
  <c r="B1164" i="4"/>
  <c r="B1163" i="4"/>
  <c r="B1160" i="4"/>
  <c r="T1150" i="4"/>
  <c r="L1133" i="4"/>
  <c r="L1104" i="4"/>
  <c r="B1106" i="4"/>
  <c r="B1099" i="4"/>
  <c r="B1088" i="4"/>
  <c r="L1081" i="4"/>
  <c r="L1079" i="4"/>
  <c r="B1081" i="4"/>
  <c r="L1075" i="4"/>
  <c r="B1074" i="4"/>
  <c r="I1073" i="4"/>
  <c r="J1073" i="4" s="1"/>
  <c r="L1071" i="4"/>
  <c r="L1070" i="4"/>
  <c r="L1069" i="4"/>
  <c r="L1066" i="4"/>
  <c r="L1060" i="4"/>
  <c r="B1058" i="4"/>
  <c r="L1053" i="4"/>
  <c r="B1056" i="4"/>
  <c r="I1053" i="4"/>
  <c r="L1051" i="4"/>
  <c r="L1049" i="4"/>
  <c r="B1041" i="4"/>
  <c r="J1040" i="4"/>
  <c r="L1023" i="4"/>
  <c r="L1020" i="4"/>
  <c r="B1014" i="4"/>
  <c r="T1010" i="4"/>
  <c r="B1006" i="4"/>
  <c r="L1001" i="4"/>
  <c r="B1000" i="4"/>
  <c r="B986" i="4"/>
  <c r="B983" i="4"/>
  <c r="L980" i="4"/>
  <c r="L979" i="4"/>
  <c r="B979" i="4"/>
  <c r="L975" i="4"/>
  <c r="L970" i="4"/>
  <c r="B969" i="4"/>
  <c r="B970" i="4"/>
  <c r="L955" i="4"/>
  <c r="J953" i="4"/>
  <c r="L950" i="4"/>
  <c r="L948" i="4"/>
  <c r="B951" i="4"/>
  <c r="B949" i="4"/>
  <c r="I948" i="4"/>
  <c r="L943" i="4"/>
  <c r="B945" i="4"/>
  <c r="L940" i="4"/>
  <c r="B941" i="4"/>
  <c r="B938" i="4"/>
  <c r="L933" i="4"/>
  <c r="I936" i="4"/>
  <c r="I934" i="4"/>
  <c r="L929" i="4"/>
  <c r="I923" i="4"/>
  <c r="I924" i="4"/>
  <c r="L909" i="4"/>
  <c r="I910" i="4"/>
  <c r="I909" i="4"/>
  <c r="I899" i="4"/>
  <c r="J898" i="4" s="1"/>
  <c r="L894" i="4"/>
  <c r="L886" i="4"/>
  <c r="J885" i="4"/>
  <c r="B883" i="4"/>
  <c r="L880" i="4"/>
  <c r="L878" i="4"/>
  <c r="L875" i="4"/>
  <c r="L871" i="4"/>
  <c r="B870" i="4"/>
  <c r="L864" i="4"/>
  <c r="I861" i="4"/>
  <c r="I856" i="4"/>
  <c r="L846" i="4"/>
  <c r="L845" i="4"/>
  <c r="L844" i="4"/>
  <c r="L835" i="4"/>
  <c r="L831" i="4"/>
  <c r="L830" i="4"/>
  <c r="I831" i="4"/>
  <c r="J828" i="4"/>
  <c r="L824" i="4"/>
  <c r="L825" i="4"/>
  <c r="B824" i="4"/>
  <c r="I820" i="4"/>
  <c r="L809" i="4"/>
  <c r="B808" i="4"/>
  <c r="L805" i="4"/>
  <c r="I805" i="4"/>
  <c r="L801" i="4"/>
  <c r="L800" i="4"/>
  <c r="L799" i="4"/>
  <c r="L798" i="4"/>
  <c r="L796" i="4"/>
  <c r="L794" i="4"/>
  <c r="L793" i="4"/>
  <c r="L791" i="4"/>
  <c r="L789" i="4"/>
  <c r="B785" i="4"/>
  <c r="B780" i="4"/>
  <c r="L776" i="4"/>
  <c r="L771" i="4"/>
  <c r="I771" i="4"/>
  <c r="L759" i="4"/>
  <c r="B761" i="4"/>
  <c r="B759" i="4"/>
  <c r="L755" i="4"/>
  <c r="L754" i="4"/>
  <c r="L753" i="4"/>
  <c r="J738" i="4"/>
  <c r="B735" i="4"/>
  <c r="I734" i="4"/>
  <c r="B730" i="4"/>
  <c r="B728" i="4"/>
  <c r="L721" i="4"/>
  <c r="T720" i="4"/>
  <c r="L719" i="4"/>
  <c r="L710" i="4"/>
  <c r="B708" i="4"/>
  <c r="B713" i="4"/>
  <c r="L704" i="4"/>
  <c r="B705" i="4"/>
  <c r="B700" i="4"/>
  <c r="B696" i="4"/>
  <c r="B694" i="4"/>
  <c r="L691" i="4"/>
  <c r="L690" i="4"/>
  <c r="L689" i="4"/>
  <c r="B688" i="4"/>
  <c r="L685" i="4"/>
  <c r="B681" i="4"/>
  <c r="B679" i="4"/>
  <c r="L673" i="4"/>
  <c r="L671" i="4"/>
  <c r="L664" i="4"/>
  <c r="L661" i="4"/>
  <c r="B661" i="4"/>
  <c r="B658" i="4"/>
  <c r="J655" i="4"/>
  <c r="B650" i="4"/>
  <c r="B649" i="4"/>
  <c r="J648" i="4"/>
  <c r="B648" i="4"/>
  <c r="L651" i="4"/>
  <c r="L649" i="4"/>
  <c r="B639" i="4"/>
  <c r="L635" i="4"/>
  <c r="L633" i="4"/>
  <c r="B636" i="4"/>
  <c r="B634" i="4"/>
  <c r="B633" i="4"/>
  <c r="L630" i="4"/>
  <c r="L626" i="4"/>
  <c r="I1190" i="4"/>
  <c r="J1190" i="4" s="1"/>
  <c r="B1190" i="4"/>
  <c r="I97" i="4"/>
  <c r="L51" i="4"/>
  <c r="J73" i="4"/>
  <c r="B86" i="4"/>
  <c r="B116" i="4"/>
  <c r="B126" i="4"/>
  <c r="B175" i="4"/>
  <c r="B181" i="4"/>
  <c r="T235" i="4"/>
  <c r="J245" i="4"/>
  <c r="B263" i="4"/>
  <c r="L315" i="4"/>
  <c r="L468" i="4"/>
  <c r="L491" i="4"/>
  <c r="L510" i="4"/>
  <c r="L513" i="4"/>
  <c r="L553" i="4"/>
  <c r="T570" i="4"/>
  <c r="J588" i="4"/>
  <c r="B598" i="4"/>
  <c r="B624" i="4"/>
  <c r="B626" i="4"/>
  <c r="L640" i="4"/>
  <c r="L654" i="4"/>
  <c r="T660" i="4"/>
  <c r="L663" i="4"/>
  <c r="L665" i="4"/>
  <c r="L668" i="4"/>
  <c r="L670" i="4"/>
  <c r="I673" i="4"/>
  <c r="B689" i="4"/>
  <c r="S698" i="4"/>
  <c r="L698" i="4"/>
  <c r="B701" i="4"/>
  <c r="B704" i="4"/>
  <c r="B715" i="4"/>
  <c r="L740" i="4"/>
  <c r="B768" i="4"/>
  <c r="S780" i="4"/>
  <c r="L780" i="4"/>
  <c r="L813" i="4"/>
  <c r="B828" i="4"/>
  <c r="B851" i="4"/>
  <c r="B854" i="4"/>
  <c r="I864" i="4"/>
  <c r="J863" i="4" s="1"/>
  <c r="B864" i="4"/>
  <c r="B866" i="4"/>
  <c r="S879" i="4"/>
  <c r="T878" i="4" s="1"/>
  <c r="L879" i="4"/>
  <c r="I901" i="4"/>
  <c r="L914" i="4"/>
  <c r="L920" i="4"/>
  <c r="L923" i="4"/>
  <c r="B939" i="4"/>
  <c r="I958" i="4"/>
  <c r="B958" i="4"/>
  <c r="B961" i="4"/>
  <c r="S985" i="4"/>
  <c r="L985" i="4"/>
  <c r="L1040" i="4"/>
  <c r="I1043" i="4"/>
  <c r="J1043" i="4" s="1"/>
  <c r="S1056" i="4"/>
  <c r="L1056" i="4"/>
  <c r="B1063" i="4"/>
  <c r="L1089" i="4"/>
  <c r="S1135" i="4"/>
  <c r="L1135" i="4"/>
  <c r="S1153" i="4"/>
  <c r="L1161" i="4"/>
  <c r="I1253" i="4"/>
  <c r="B1253" i="4"/>
  <c r="L1255" i="4"/>
  <c r="B16" i="4"/>
  <c r="L21" i="4"/>
  <c r="B33" i="4"/>
  <c r="L96" i="4"/>
  <c r="L199" i="4"/>
  <c r="B224" i="4"/>
  <c r="I306" i="4"/>
  <c r="I381" i="4"/>
  <c r="L405" i="4"/>
  <c r="B416" i="4"/>
  <c r="L448" i="4"/>
  <c r="B490" i="4"/>
  <c r="L499" i="4"/>
  <c r="I676" i="4"/>
  <c r="I691" i="4"/>
  <c r="S715" i="4"/>
  <c r="T715" i="4" s="1"/>
  <c r="L715" i="4"/>
  <c r="I724" i="4"/>
  <c r="I756" i="4"/>
  <c r="I779" i="4"/>
  <c r="I803" i="4"/>
  <c r="S839" i="4"/>
  <c r="L839" i="4"/>
  <c r="I845" i="4"/>
  <c r="J845" i="4" s="1"/>
  <c r="S854" i="4"/>
  <c r="T853" i="4" s="1"/>
  <c r="L854" i="4"/>
  <c r="S890" i="4"/>
  <c r="T890" i="4" s="1"/>
  <c r="L890" i="4"/>
  <c r="S995" i="4"/>
  <c r="L995" i="4"/>
  <c r="I1055" i="4"/>
  <c r="J1055" i="4" s="1"/>
  <c r="B48" i="4"/>
  <c r="B115" i="4"/>
  <c r="B121" i="4"/>
  <c r="L130" i="4"/>
  <c r="B174" i="4"/>
  <c r="B176" i="4"/>
  <c r="T270" i="4"/>
  <c r="I274" i="4"/>
  <c r="J273" i="4" s="1"/>
  <c r="T298" i="4"/>
  <c r="B344" i="4"/>
  <c r="B361" i="4"/>
  <c r="L385" i="4"/>
  <c r="L403" i="4"/>
  <c r="L463" i="4"/>
  <c r="J623" i="4"/>
  <c r="J625" i="4"/>
  <c r="J653" i="4"/>
  <c r="S713" i="4"/>
  <c r="L713" i="4"/>
  <c r="I819" i="4"/>
  <c r="I834" i="4"/>
  <c r="B834" i="4"/>
  <c r="I926" i="4"/>
  <c r="I933" i="4"/>
  <c r="I971" i="4"/>
  <c r="J970" i="4" s="1"/>
  <c r="B971" i="4"/>
  <c r="I981" i="4"/>
  <c r="S1008" i="4"/>
  <c r="L1008" i="4"/>
  <c r="S1074" i="4"/>
  <c r="L1074" i="4"/>
  <c r="I1076" i="4"/>
  <c r="I1155" i="4"/>
  <c r="B1155" i="4"/>
  <c r="J1168" i="4"/>
  <c r="S1176" i="4"/>
  <c r="T1175" i="4" s="1"/>
  <c r="L1176" i="4"/>
  <c r="I1183" i="4"/>
  <c r="J1183" i="4" s="1"/>
  <c r="B1183" i="4"/>
  <c r="S1188" i="4"/>
  <c r="L1188" i="4"/>
  <c r="S1203" i="4"/>
  <c r="L1203" i="4"/>
  <c r="S1078" i="4"/>
  <c r="T1078" i="4" s="1"/>
  <c r="L1078" i="4"/>
  <c r="S1184" i="4"/>
  <c r="T1183" i="4" s="1"/>
  <c r="L1184" i="4"/>
  <c r="L14" i="4"/>
  <c r="L16" i="4"/>
  <c r="B20" i="4"/>
  <c r="J115" i="4"/>
  <c r="J180" i="4"/>
  <c r="T190" i="4"/>
  <c r="L221" i="4"/>
  <c r="L224" i="4"/>
  <c r="I261" i="4"/>
  <c r="B281" i="4"/>
  <c r="L606" i="4"/>
  <c r="L620" i="4"/>
  <c r="L623" i="4"/>
  <c r="L625" i="4"/>
  <c r="J635" i="4"/>
  <c r="L636" i="4"/>
  <c r="L645" i="4"/>
  <c r="T648" i="4"/>
  <c r="L658" i="4"/>
  <c r="J683" i="4"/>
  <c r="L688" i="4"/>
  <c r="B698" i="4"/>
  <c r="J700" i="4"/>
  <c r="L716" i="4"/>
  <c r="B725" i="4"/>
  <c r="I753" i="4"/>
  <c r="J753" i="4" s="1"/>
  <c r="L774" i="4"/>
  <c r="L814" i="4"/>
  <c r="L819" i="4"/>
  <c r="B838" i="4"/>
  <c r="L850" i="4"/>
  <c r="L853" i="4"/>
  <c r="L855" i="4"/>
  <c r="S868" i="4"/>
  <c r="L868" i="4"/>
  <c r="B876" i="4"/>
  <c r="B879" i="4"/>
  <c r="B884" i="4"/>
  <c r="B889" i="4"/>
  <c r="T898" i="4"/>
  <c r="S913" i="4"/>
  <c r="T913" i="4" s="1"/>
  <c r="L913" i="4"/>
  <c r="B916" i="4"/>
  <c r="L924" i="4"/>
  <c r="S966" i="4"/>
  <c r="L966" i="4"/>
  <c r="I994" i="4"/>
  <c r="I1011" i="4"/>
  <c r="S1044" i="4"/>
  <c r="L1044" i="4"/>
  <c r="B1075" i="4"/>
  <c r="L1155" i="4"/>
  <c r="L1165" i="4"/>
  <c r="L1174" i="4"/>
  <c r="S1194" i="4"/>
  <c r="T1193" i="4" s="1"/>
  <c r="L1194" i="4"/>
  <c r="L1200" i="4"/>
  <c r="I896" i="4"/>
  <c r="B896" i="4"/>
  <c r="S983" i="4"/>
  <c r="L983" i="4"/>
  <c r="S1159" i="4"/>
  <c r="T1158" i="4" s="1"/>
  <c r="L1159" i="4"/>
  <c r="I1179" i="4"/>
  <c r="J1178" i="4" s="1"/>
  <c r="B1179" i="4"/>
  <c r="T58" i="4"/>
  <c r="B93" i="4"/>
  <c r="B131" i="4"/>
  <c r="I163" i="4"/>
  <c r="J163" i="4" s="1"/>
  <c r="B191" i="4"/>
  <c r="L198" i="4"/>
  <c r="J325" i="4"/>
  <c r="I339" i="4"/>
  <c r="J338" i="4" s="1"/>
  <c r="I513" i="4"/>
  <c r="I515" i="4"/>
  <c r="J515" i="4" s="1"/>
  <c r="J663" i="4"/>
  <c r="J665" i="4"/>
  <c r="J668" i="4"/>
  <c r="J670" i="4"/>
  <c r="S703" i="4"/>
  <c r="L703" i="4"/>
  <c r="T730" i="4"/>
  <c r="S743" i="4"/>
  <c r="L743" i="4"/>
  <c r="S865" i="4"/>
  <c r="L865" i="4"/>
  <c r="S938" i="4"/>
  <c r="L938" i="4"/>
  <c r="I1009" i="4"/>
  <c r="I1065" i="4"/>
  <c r="B1065" i="4"/>
  <c r="I1150" i="4"/>
  <c r="B1150" i="4"/>
  <c r="S1180" i="4"/>
  <c r="T1180" i="4" s="1"/>
  <c r="L1180" i="4"/>
  <c r="I1186" i="4"/>
  <c r="J1185" i="4" s="1"/>
  <c r="B1186" i="4"/>
  <c r="S1191" i="4"/>
  <c r="T1190" i="4" s="1"/>
  <c r="L1191" i="4"/>
  <c r="J1163" i="4"/>
  <c r="J1175" i="4"/>
  <c r="B1234" i="4"/>
  <c r="B1256" i="4"/>
  <c r="B731" i="4"/>
  <c r="J743" i="4"/>
  <c r="L745" i="4"/>
  <c r="B754" i="4"/>
  <c r="B758" i="4"/>
  <c r="J763" i="4"/>
  <c r="B769" i="4"/>
  <c r="L773" i="4"/>
  <c r="L775" i="4"/>
  <c r="L783" i="4"/>
  <c r="T790" i="4"/>
  <c r="T795" i="4"/>
  <c r="T800" i="4"/>
  <c r="B811" i="4"/>
  <c r="L815" i="4"/>
  <c r="L823" i="4"/>
  <c r="B829" i="4"/>
  <c r="L848" i="4"/>
  <c r="B850" i="4"/>
  <c r="T858" i="4"/>
  <c r="J865" i="4"/>
  <c r="L873" i="4"/>
  <c r="B875" i="4"/>
  <c r="L883" i="4"/>
  <c r="L885" i="4"/>
  <c r="L900" i="4"/>
  <c r="L945" i="4"/>
  <c r="L963" i="4"/>
  <c r="J983" i="4"/>
  <c r="L986" i="4"/>
  <c r="L998" i="4"/>
  <c r="L1005" i="4"/>
  <c r="I1008" i="4"/>
  <c r="J1013" i="4"/>
  <c r="L1015" i="4"/>
  <c r="B1028" i="4"/>
  <c r="J1030" i="4"/>
  <c r="L1033" i="4"/>
  <c r="L1046" i="4"/>
  <c r="L1085" i="4"/>
  <c r="B1091" i="4"/>
  <c r="L1096" i="4"/>
  <c r="B1103" i="4"/>
  <c r="L1108" i="4"/>
  <c r="B1114" i="4"/>
  <c r="B1153" i="4"/>
  <c r="L1163" i="4"/>
  <c r="B1165" i="4"/>
  <c r="L1166" i="4"/>
  <c r="J1173" i="4"/>
  <c r="L1178" i="4"/>
  <c r="B1180" i="4"/>
  <c r="L1181" i="4"/>
  <c r="B1184" i="4"/>
  <c r="L1185" i="4"/>
  <c r="B1188" i="4"/>
  <c r="L1189" i="4"/>
  <c r="B1191" i="4"/>
  <c r="J740" i="4"/>
  <c r="T763" i="4"/>
  <c r="T775" i="4"/>
  <c r="J875" i="4"/>
  <c r="J948" i="4"/>
  <c r="J1025" i="4"/>
  <c r="J1170" i="4"/>
  <c r="L1205" i="4"/>
  <c r="L1256" i="4"/>
  <c r="L615" i="4"/>
  <c r="L614" i="4"/>
  <c r="L613" i="4"/>
  <c r="B616" i="4"/>
  <c r="B614" i="4"/>
  <c r="J613" i="4"/>
  <c r="L610" i="4"/>
  <c r="L609" i="4"/>
  <c r="J608" i="4"/>
  <c r="L604" i="4"/>
  <c r="J605" i="4"/>
  <c r="B600" i="4"/>
  <c r="B599" i="4"/>
  <c r="L601" i="4"/>
  <c r="L599" i="4"/>
  <c r="T598" i="4"/>
  <c r="L596" i="4"/>
  <c r="L594" i="4"/>
  <c r="J593" i="4"/>
  <c r="L591" i="4"/>
  <c r="L590" i="4"/>
  <c r="L588" i="4"/>
  <c r="J590" i="4"/>
  <c r="B590" i="4"/>
  <c r="B589" i="4"/>
  <c r="B588" i="4"/>
  <c r="T585" i="4"/>
  <c r="L586" i="4"/>
  <c r="L584" i="4"/>
  <c r="L583" i="4"/>
  <c r="T580" i="4"/>
  <c r="B580" i="4"/>
  <c r="B578" i="4"/>
  <c r="T575" i="4"/>
  <c r="L574" i="4"/>
  <c r="L573" i="4"/>
  <c r="J575" i="4"/>
  <c r="B576" i="4"/>
  <c r="B573" i="4"/>
  <c r="B568" i="4"/>
  <c r="L571" i="4"/>
  <c r="L569" i="4"/>
  <c r="L565" i="4"/>
  <c r="L563" i="4"/>
  <c r="L560" i="4"/>
  <c r="L559" i="4"/>
  <c r="J558" i="4"/>
  <c r="L556" i="4"/>
  <c r="L554" i="4"/>
  <c r="B556" i="4"/>
  <c r="I555" i="4"/>
  <c r="J555" i="4" s="1"/>
  <c r="B553" i="4"/>
  <c r="L551" i="4"/>
  <c r="L548" i="4"/>
  <c r="B549" i="4"/>
  <c r="B548" i="4"/>
  <c r="J545" i="4"/>
  <c r="J543" i="4"/>
  <c r="L546" i="4"/>
  <c r="T545" i="4"/>
  <c r="L545" i="4"/>
  <c r="L544" i="4"/>
  <c r="L543" i="4"/>
  <c r="L541" i="4"/>
  <c r="T540" i="4"/>
  <c r="L540" i="4"/>
  <c r="L539" i="4"/>
  <c r="T538" i="4"/>
  <c r="B541" i="4"/>
  <c r="B540" i="4"/>
  <c r="B539" i="4"/>
  <c r="L536" i="4"/>
  <c r="L534" i="4"/>
  <c r="J535" i="4"/>
  <c r="J533" i="4"/>
  <c r="L531" i="4"/>
  <c r="L530" i="4"/>
  <c r="T528" i="4"/>
  <c r="L529" i="4"/>
  <c r="L528" i="4"/>
  <c r="J530" i="4"/>
  <c r="B529" i="4"/>
  <c r="J528" i="4"/>
  <c r="B528" i="4"/>
  <c r="L526" i="4"/>
  <c r="L524" i="4"/>
  <c r="B525" i="4"/>
  <c r="B524" i="4"/>
  <c r="B523" i="4"/>
  <c r="L521" i="4"/>
  <c r="L520" i="4"/>
  <c r="I520" i="4"/>
  <c r="L514" i="4"/>
  <c r="L516" i="4"/>
  <c r="B516" i="4"/>
  <c r="T510" i="4"/>
  <c r="L511" i="4"/>
  <c r="L509" i="4"/>
  <c r="B511" i="4"/>
  <c r="B510" i="4"/>
  <c r="B509" i="4"/>
  <c r="J508" i="4"/>
  <c r="B508" i="4"/>
  <c r="L506" i="4"/>
  <c r="L503" i="4"/>
  <c r="B505" i="4"/>
  <c r="B501" i="4"/>
  <c r="B498" i="4"/>
  <c r="L495" i="4"/>
  <c r="B486" i="4"/>
  <c r="B483" i="4"/>
  <c r="L480" i="4"/>
  <c r="L470" i="4"/>
  <c r="L465" i="4"/>
  <c r="B466" i="4"/>
  <c r="I464" i="4"/>
  <c r="L450" i="4"/>
  <c r="L438" i="4"/>
  <c r="B441" i="4"/>
  <c r="I439" i="4"/>
  <c r="L425" i="4"/>
  <c r="L423" i="4"/>
  <c r="B424" i="4"/>
  <c r="L415" i="4"/>
  <c r="L413" i="4"/>
  <c r="B414" i="4"/>
  <c r="L410" i="4"/>
  <c r="L408" i="4"/>
  <c r="L400" i="4"/>
  <c r="L398" i="4"/>
  <c r="L395" i="4"/>
  <c r="L393" i="4"/>
  <c r="L383" i="4"/>
  <c r="I384" i="4"/>
  <c r="L380" i="4"/>
  <c r="B379" i="4"/>
  <c r="L370" i="4"/>
  <c r="L368" i="4"/>
  <c r="B359" i="4"/>
  <c r="L355" i="4"/>
  <c r="L353" i="4"/>
  <c r="S354" i="4"/>
  <c r="L354" i="4"/>
  <c r="I374" i="4"/>
  <c r="B374" i="4"/>
  <c r="I389" i="4"/>
  <c r="B389" i="4"/>
  <c r="S404" i="4"/>
  <c r="T403" i="4" s="1"/>
  <c r="L404" i="4"/>
  <c r="I418" i="4"/>
  <c r="B418" i="4"/>
  <c r="I436" i="4"/>
  <c r="B436" i="4"/>
  <c r="I461" i="4"/>
  <c r="J460" i="4" s="1"/>
  <c r="B461" i="4"/>
  <c r="S481" i="4"/>
  <c r="T480" i="4" s="1"/>
  <c r="L481" i="4"/>
  <c r="I641" i="4"/>
  <c r="J640" i="4" s="1"/>
  <c r="B641" i="4"/>
  <c r="I868" i="4"/>
  <c r="B868" i="4"/>
  <c r="S925" i="4"/>
  <c r="L925" i="4"/>
  <c r="B21" i="4"/>
  <c r="B58" i="4"/>
  <c r="B111" i="4"/>
  <c r="T120" i="4"/>
  <c r="L129" i="4"/>
  <c r="L138" i="4"/>
  <c r="B145" i="4"/>
  <c r="S169" i="4"/>
  <c r="T168" i="4" s="1"/>
  <c r="J175" i="4"/>
  <c r="L184" i="4"/>
  <c r="L190" i="4"/>
  <c r="J203" i="4"/>
  <c r="L216" i="4"/>
  <c r="B231" i="4"/>
  <c r="L250" i="4"/>
  <c r="S314" i="4"/>
  <c r="T313" i="4" s="1"/>
  <c r="L314" i="4"/>
  <c r="S356" i="4"/>
  <c r="T355" i="4" s="1"/>
  <c r="L356" i="4"/>
  <c r="I360" i="4"/>
  <c r="J360" i="4" s="1"/>
  <c r="B360" i="4"/>
  <c r="S363" i="4"/>
  <c r="L363" i="4"/>
  <c r="S366" i="4"/>
  <c r="L366" i="4"/>
  <c r="S373" i="4"/>
  <c r="L373" i="4"/>
  <c r="S376" i="4"/>
  <c r="L376" i="4"/>
  <c r="S388" i="4"/>
  <c r="L388" i="4"/>
  <c r="S391" i="4"/>
  <c r="L391" i="4"/>
  <c r="S406" i="4"/>
  <c r="T405" i="4" s="1"/>
  <c r="L406" i="4"/>
  <c r="S416" i="4"/>
  <c r="T415" i="4" s="1"/>
  <c r="L416" i="4"/>
  <c r="S420" i="4"/>
  <c r="T420" i="4" s="1"/>
  <c r="L420" i="4"/>
  <c r="S443" i="4"/>
  <c r="L443" i="4"/>
  <c r="S446" i="4"/>
  <c r="T445" i="4" s="1"/>
  <c r="L446" i="4"/>
  <c r="S453" i="4"/>
  <c r="T453" i="4" s="1"/>
  <c r="L453" i="4"/>
  <c r="S456" i="4"/>
  <c r="L456" i="4"/>
  <c r="S460" i="4"/>
  <c r="T460" i="4" s="1"/>
  <c r="L460" i="4"/>
  <c r="S474" i="4"/>
  <c r="T473" i="4" s="1"/>
  <c r="L474" i="4"/>
  <c r="S478" i="4"/>
  <c r="L478" i="4"/>
  <c r="I481" i="4"/>
  <c r="B481" i="4"/>
  <c r="S486" i="4"/>
  <c r="L486" i="4"/>
  <c r="I493" i="4"/>
  <c r="J493" i="4" s="1"/>
  <c r="B493" i="4"/>
  <c r="S498" i="4"/>
  <c r="T498" i="4" s="1"/>
  <c r="L498" i="4"/>
  <c r="I504" i="4"/>
  <c r="B504" i="4"/>
  <c r="S525" i="4"/>
  <c r="T525" i="4" s="1"/>
  <c r="L525" i="4"/>
  <c r="S550" i="4"/>
  <c r="T550" i="4" s="1"/>
  <c r="L550" i="4"/>
  <c r="S561" i="4"/>
  <c r="T560" i="4" s="1"/>
  <c r="L561" i="4"/>
  <c r="S600" i="4"/>
  <c r="T600" i="4" s="1"/>
  <c r="L600" i="4"/>
  <c r="I631" i="4"/>
  <c r="J630" i="4" s="1"/>
  <c r="B631" i="4"/>
  <c r="I659" i="4"/>
  <c r="J658" i="4" s="1"/>
  <c r="B659" i="4"/>
  <c r="S675" i="4"/>
  <c r="T675" i="4" s="1"/>
  <c r="L675" i="4"/>
  <c r="I693" i="4"/>
  <c r="J693" i="4" s="1"/>
  <c r="B693" i="4"/>
  <c r="I695" i="4"/>
  <c r="J695" i="4" s="1"/>
  <c r="B695" i="4"/>
  <c r="J715" i="4"/>
  <c r="I778" i="4"/>
  <c r="B778" i="4"/>
  <c r="I358" i="4"/>
  <c r="B358" i="4"/>
  <c r="S379" i="4"/>
  <c r="T378" i="4" s="1"/>
  <c r="L379" i="4"/>
  <c r="I488" i="4"/>
  <c r="J488" i="4" s="1"/>
  <c r="B488" i="4"/>
  <c r="I499" i="4"/>
  <c r="J498" i="4" s="1"/>
  <c r="B499" i="4"/>
  <c r="I514" i="4"/>
  <c r="J513" i="4" s="1"/>
  <c r="B514" i="4"/>
  <c r="S568" i="4"/>
  <c r="T568" i="4" s="1"/>
  <c r="L568" i="4"/>
  <c r="B610" i="4"/>
  <c r="I610" i="4"/>
  <c r="J610" i="4" s="1"/>
  <c r="S624" i="4"/>
  <c r="T623" i="4" s="1"/>
  <c r="L624" i="4"/>
  <c r="S735" i="4"/>
  <c r="L735" i="4"/>
  <c r="S876" i="4"/>
  <c r="T875" i="4" s="1"/>
  <c r="L876" i="4"/>
  <c r="B1010" i="4"/>
  <c r="I1010" i="4"/>
  <c r="S1064" i="4"/>
  <c r="T1063" i="4" s="1"/>
  <c r="L1064" i="4"/>
  <c r="I128" i="4"/>
  <c r="S266" i="4"/>
  <c r="T265" i="4" s="1"/>
  <c r="L266" i="4"/>
  <c r="I345" i="4"/>
  <c r="J345" i="4" s="1"/>
  <c r="B345" i="4"/>
  <c r="I349" i="4"/>
  <c r="J348" i="4" s="1"/>
  <c r="B349" i="4"/>
  <c r="S364" i="4"/>
  <c r="L364" i="4"/>
  <c r="S374" i="4"/>
  <c r="L374" i="4"/>
  <c r="I380" i="4"/>
  <c r="B380" i="4"/>
  <c r="S381" i="4"/>
  <c r="T380" i="4" s="1"/>
  <c r="L381" i="4"/>
  <c r="S389" i="4"/>
  <c r="L389" i="4"/>
  <c r="S401" i="4"/>
  <c r="T400" i="4" s="1"/>
  <c r="L401" i="4"/>
  <c r="S429" i="4"/>
  <c r="T428" i="4" s="1"/>
  <c r="L429" i="4"/>
  <c r="S433" i="4"/>
  <c r="L433" i="4"/>
  <c r="S436" i="4"/>
  <c r="T435" i="4" s="1"/>
  <c r="L436" i="4"/>
  <c r="S444" i="4"/>
  <c r="L444" i="4"/>
  <c r="S471" i="4"/>
  <c r="T470" i="4" s="1"/>
  <c r="L471" i="4"/>
  <c r="S475" i="4"/>
  <c r="T475" i="4" s="1"/>
  <c r="L475" i="4"/>
  <c r="S479" i="4"/>
  <c r="L479" i="4"/>
  <c r="I485" i="4"/>
  <c r="J485" i="4" s="1"/>
  <c r="B485" i="4"/>
  <c r="S490" i="4"/>
  <c r="T490" i="4" s="1"/>
  <c r="L490" i="4"/>
  <c r="I496" i="4"/>
  <c r="B496" i="4"/>
  <c r="S501" i="4"/>
  <c r="L501" i="4"/>
  <c r="S518" i="4"/>
  <c r="T518" i="4" s="1"/>
  <c r="L518" i="4"/>
  <c r="S535" i="4"/>
  <c r="T535" i="4" s="1"/>
  <c r="L535" i="4"/>
  <c r="B560" i="4"/>
  <c r="I560" i="4"/>
  <c r="J560" i="4" s="1"/>
  <c r="I615" i="4"/>
  <c r="J615" i="4" s="1"/>
  <c r="B615" i="4"/>
  <c r="S629" i="4"/>
  <c r="T628" i="4" s="1"/>
  <c r="L629" i="4"/>
  <c r="S634" i="4"/>
  <c r="T633" i="4" s="1"/>
  <c r="L634" i="4"/>
  <c r="I760" i="4"/>
  <c r="J760" i="4" s="1"/>
  <c r="B760" i="4"/>
  <c r="I283" i="4"/>
  <c r="B283" i="4"/>
  <c r="I421" i="4"/>
  <c r="J420" i="4" s="1"/>
  <c r="B421" i="4"/>
  <c r="I433" i="4"/>
  <c r="J433" i="4" s="1"/>
  <c r="B433" i="4"/>
  <c r="S504" i="4"/>
  <c r="T503" i="4" s="1"/>
  <c r="L504" i="4"/>
  <c r="I551" i="4"/>
  <c r="B551" i="4"/>
  <c r="S725" i="4"/>
  <c r="L725" i="4"/>
  <c r="I960" i="4"/>
  <c r="J960" i="4" s="1"/>
  <c r="B960" i="4"/>
  <c r="B164" i="4"/>
  <c r="I183" i="4"/>
  <c r="I189" i="4"/>
  <c r="L206" i="4"/>
  <c r="I213" i="4"/>
  <c r="T215" i="4"/>
  <c r="B226" i="4"/>
  <c r="L249" i="4"/>
  <c r="I251" i="4"/>
  <c r="J250" i="4" s="1"/>
  <c r="I259" i="4"/>
  <c r="B259" i="4"/>
  <c r="L278" i="4"/>
  <c r="B284" i="4"/>
  <c r="B301" i="4"/>
  <c r="S336" i="4"/>
  <c r="T335" i="4" s="1"/>
  <c r="L336" i="4"/>
  <c r="S345" i="4"/>
  <c r="T345" i="4" s="1"/>
  <c r="L345" i="4"/>
  <c r="I365" i="4"/>
  <c r="B365" i="4"/>
  <c r="I375" i="4"/>
  <c r="B375" i="4"/>
  <c r="I383" i="4"/>
  <c r="B383" i="4"/>
  <c r="S384" i="4"/>
  <c r="T383" i="4" s="1"/>
  <c r="L384" i="4"/>
  <c r="I390" i="4"/>
  <c r="B390" i="4"/>
  <c r="S399" i="4"/>
  <c r="T398" i="4" s="1"/>
  <c r="L399" i="4"/>
  <c r="I419" i="4"/>
  <c r="B419" i="4"/>
  <c r="I423" i="4"/>
  <c r="J423" i="4" s="1"/>
  <c r="B423" i="4"/>
  <c r="S424" i="4"/>
  <c r="T423" i="4" s="1"/>
  <c r="L424" i="4"/>
  <c r="S439" i="4"/>
  <c r="T438" i="4" s="1"/>
  <c r="L439" i="4"/>
  <c r="I445" i="4"/>
  <c r="B445" i="4"/>
  <c r="I455" i="4"/>
  <c r="J455" i="4" s="1"/>
  <c r="B455" i="4"/>
  <c r="I459" i="4"/>
  <c r="B459" i="4"/>
  <c r="I463" i="4"/>
  <c r="B463" i="4"/>
  <c r="S464" i="4"/>
  <c r="T463" i="4" s="1"/>
  <c r="L464" i="4"/>
  <c r="S469" i="4"/>
  <c r="T468" i="4" s="1"/>
  <c r="L469" i="4"/>
  <c r="I473" i="4"/>
  <c r="B473" i="4"/>
  <c r="I476" i="4"/>
  <c r="J475" i="4" s="1"/>
  <c r="B476" i="4"/>
  <c r="I480" i="4"/>
  <c r="B480" i="4"/>
  <c r="S485" i="4"/>
  <c r="L485" i="4"/>
  <c r="I491" i="4"/>
  <c r="J490" i="4" s="1"/>
  <c r="B491" i="4"/>
  <c r="S496" i="4"/>
  <c r="T495" i="4" s="1"/>
  <c r="L496" i="4"/>
  <c r="I503" i="4"/>
  <c r="B503" i="4"/>
  <c r="I519" i="4"/>
  <c r="J518" i="4" s="1"/>
  <c r="B519" i="4"/>
  <c r="S533" i="4"/>
  <c r="T533" i="4" s="1"/>
  <c r="L533" i="4"/>
  <c r="I554" i="4"/>
  <c r="J553" i="4" s="1"/>
  <c r="B554" i="4"/>
  <c r="S555" i="4"/>
  <c r="T555" i="4" s="1"/>
  <c r="L555" i="4"/>
  <c r="I574" i="4"/>
  <c r="J573" i="4" s="1"/>
  <c r="B574" i="4"/>
  <c r="B584" i="4"/>
  <c r="I584" i="4"/>
  <c r="J633" i="4"/>
  <c r="S639" i="4"/>
  <c r="T638" i="4" s="1"/>
  <c r="L639" i="4"/>
  <c r="B674" i="4"/>
  <c r="I674" i="4"/>
  <c r="J688" i="4"/>
  <c r="I714" i="4"/>
  <c r="J713" i="4" s="1"/>
  <c r="B714" i="4"/>
  <c r="S820" i="4"/>
  <c r="L820" i="4"/>
  <c r="S829" i="4"/>
  <c r="T828" i="4" s="1"/>
  <c r="L829" i="4"/>
  <c r="S836" i="4"/>
  <c r="T835" i="4" s="1"/>
  <c r="L836" i="4"/>
  <c r="I843" i="4"/>
  <c r="B843" i="4"/>
  <c r="B378" i="4"/>
  <c r="I378" i="4"/>
  <c r="J378" i="4" s="1"/>
  <c r="I429" i="4"/>
  <c r="B429" i="4"/>
  <c r="I458" i="4"/>
  <c r="B458" i="4"/>
  <c r="S493" i="4"/>
  <c r="L493" i="4"/>
  <c r="S515" i="4"/>
  <c r="T515" i="4" s="1"/>
  <c r="L515" i="4"/>
  <c r="I526" i="4"/>
  <c r="J525" i="4" s="1"/>
  <c r="B526" i="4"/>
  <c r="I709" i="4"/>
  <c r="J708" i="4" s="1"/>
  <c r="B709" i="4"/>
  <c r="S863" i="4"/>
  <c r="T863" i="4" s="1"/>
  <c r="L863" i="4"/>
  <c r="S1024" i="4"/>
  <c r="T1023" i="4" s="1"/>
  <c r="L1024" i="4"/>
  <c r="J20" i="4"/>
  <c r="J110" i="4"/>
  <c r="T130" i="4"/>
  <c r="J230" i="4"/>
  <c r="S365" i="4"/>
  <c r="L365" i="4"/>
  <c r="S371" i="4"/>
  <c r="T370" i="4" s="1"/>
  <c r="L371" i="4"/>
  <c r="S375" i="4"/>
  <c r="L375" i="4"/>
  <c r="B385" i="4"/>
  <c r="I385" i="4"/>
  <c r="S386" i="4"/>
  <c r="T385" i="4" s="1"/>
  <c r="L386" i="4"/>
  <c r="S390" i="4"/>
  <c r="L390" i="4"/>
  <c r="S396" i="4"/>
  <c r="T395" i="4" s="1"/>
  <c r="L396" i="4"/>
  <c r="S419" i="4"/>
  <c r="T418" i="4" s="1"/>
  <c r="L419" i="4"/>
  <c r="S426" i="4"/>
  <c r="T425" i="4" s="1"/>
  <c r="L426" i="4"/>
  <c r="S430" i="4"/>
  <c r="T430" i="4" s="1"/>
  <c r="L430" i="4"/>
  <c r="S434" i="4"/>
  <c r="L434" i="4"/>
  <c r="I440" i="4"/>
  <c r="J440" i="4" s="1"/>
  <c r="B440" i="4"/>
  <c r="S451" i="4"/>
  <c r="T450" i="4" s="1"/>
  <c r="L451" i="4"/>
  <c r="S455" i="4"/>
  <c r="L455" i="4"/>
  <c r="S459" i="4"/>
  <c r="T458" i="4" s="1"/>
  <c r="L459" i="4"/>
  <c r="S466" i="4"/>
  <c r="T465" i="4" s="1"/>
  <c r="L466" i="4"/>
  <c r="S483" i="4"/>
  <c r="T483" i="4" s="1"/>
  <c r="L483" i="4"/>
  <c r="B489" i="4"/>
  <c r="S494" i="4"/>
  <c r="L494" i="4"/>
  <c r="I500" i="4"/>
  <c r="J500" i="4" s="1"/>
  <c r="B500" i="4"/>
  <c r="S505" i="4"/>
  <c r="T505" i="4" s="1"/>
  <c r="L505" i="4"/>
  <c r="J523" i="4"/>
  <c r="S549" i="4"/>
  <c r="T548" i="4" s="1"/>
  <c r="L549" i="4"/>
  <c r="I581" i="4"/>
  <c r="J580" i="4" s="1"/>
  <c r="B581" i="4"/>
  <c r="S595" i="4"/>
  <c r="T595" i="4" s="1"/>
  <c r="L595" i="4"/>
  <c r="J598" i="4"/>
  <c r="I628" i="4"/>
  <c r="J628" i="4" s="1"/>
  <c r="B628" i="4"/>
  <c r="S699" i="4"/>
  <c r="L699" i="4"/>
  <c r="S711" i="4"/>
  <c r="T710" i="4" s="1"/>
  <c r="L711" i="4"/>
  <c r="B723" i="4"/>
  <c r="I723" i="4"/>
  <c r="B733" i="4"/>
  <c r="I733" i="4"/>
  <c r="J733" i="4" s="1"/>
  <c r="I781" i="4"/>
  <c r="J780" i="4" s="1"/>
  <c r="B781" i="4"/>
  <c r="S784" i="4"/>
  <c r="T783" i="4" s="1"/>
  <c r="L784" i="4"/>
  <c r="S806" i="4"/>
  <c r="T805" i="4" s="1"/>
  <c r="L806" i="4"/>
  <c r="B813" i="4"/>
  <c r="I813" i="4"/>
  <c r="J813" i="4" s="1"/>
  <c r="I364" i="4"/>
  <c r="B364" i="4"/>
  <c r="I454" i="4"/>
  <c r="J453" i="4" s="1"/>
  <c r="B454" i="4"/>
  <c r="I39" i="4"/>
  <c r="J38" i="4" s="1"/>
  <c r="J80" i="4"/>
  <c r="J100" i="4"/>
  <c r="T210" i="4"/>
  <c r="T288" i="4"/>
  <c r="I363" i="4"/>
  <c r="B363" i="4"/>
  <c r="I366" i="4"/>
  <c r="B366" i="4"/>
  <c r="S369" i="4"/>
  <c r="T368" i="4" s="1"/>
  <c r="L369" i="4"/>
  <c r="I373" i="4"/>
  <c r="B373" i="4"/>
  <c r="I376" i="4"/>
  <c r="B376" i="4"/>
  <c r="I388" i="4"/>
  <c r="B388" i="4"/>
  <c r="I391" i="4"/>
  <c r="B391" i="4"/>
  <c r="S394" i="4"/>
  <c r="T393" i="4" s="1"/>
  <c r="L394" i="4"/>
  <c r="I413" i="4"/>
  <c r="J413" i="4" s="1"/>
  <c r="B413" i="4"/>
  <c r="S414" i="4"/>
  <c r="T413" i="4" s="1"/>
  <c r="L414" i="4"/>
  <c r="I428" i="4"/>
  <c r="B428" i="4"/>
  <c r="I431" i="4"/>
  <c r="J430" i="4" s="1"/>
  <c r="B431" i="4"/>
  <c r="I435" i="4"/>
  <c r="B435" i="4"/>
  <c r="I443" i="4"/>
  <c r="J443" i="4" s="1"/>
  <c r="B443" i="4"/>
  <c r="I446" i="4"/>
  <c r="B446" i="4"/>
  <c r="S449" i="4"/>
  <c r="T448" i="4" s="1"/>
  <c r="L449" i="4"/>
  <c r="I474" i="4"/>
  <c r="B474" i="4"/>
  <c r="I478" i="4"/>
  <c r="J478" i="4" s="1"/>
  <c r="B478" i="4"/>
  <c r="I484" i="4"/>
  <c r="J483" i="4" s="1"/>
  <c r="B484" i="4"/>
  <c r="S489" i="4"/>
  <c r="T488" i="4" s="1"/>
  <c r="L489" i="4"/>
  <c r="I495" i="4"/>
  <c r="B495" i="4"/>
  <c r="S500" i="4"/>
  <c r="L500" i="4"/>
  <c r="I506" i="4"/>
  <c r="J505" i="4" s="1"/>
  <c r="B506" i="4"/>
  <c r="I521" i="4"/>
  <c r="B521" i="4"/>
  <c r="S523" i="4"/>
  <c r="T523" i="4" s="1"/>
  <c r="L523" i="4"/>
  <c r="J548" i="4"/>
  <c r="I550" i="4"/>
  <c r="B550" i="4"/>
  <c r="I570" i="4"/>
  <c r="J570" i="4" s="1"/>
  <c r="B570" i="4"/>
  <c r="I579" i="4"/>
  <c r="J578" i="4" s="1"/>
  <c r="B579" i="4"/>
  <c r="S593" i="4"/>
  <c r="T593" i="4" s="1"/>
  <c r="L593" i="4"/>
  <c r="J600" i="4"/>
  <c r="S611" i="4"/>
  <c r="T610" i="4" s="1"/>
  <c r="L611" i="4"/>
  <c r="I638" i="4"/>
  <c r="J638" i="4" s="1"/>
  <c r="B638" i="4"/>
  <c r="S650" i="4"/>
  <c r="T650" i="4" s="1"/>
  <c r="L650" i="4"/>
  <c r="J660" i="4"/>
  <c r="I678" i="4"/>
  <c r="J678" i="4" s="1"/>
  <c r="B678" i="4"/>
  <c r="I680" i="4"/>
  <c r="J680" i="4" s="1"/>
  <c r="B680" i="4"/>
  <c r="J730" i="4"/>
  <c r="S738" i="4"/>
  <c r="L738" i="4"/>
  <c r="S744" i="4"/>
  <c r="L744" i="4"/>
  <c r="S779" i="4"/>
  <c r="T778" i="4" s="1"/>
  <c r="L779" i="4"/>
  <c r="J270" i="4"/>
  <c r="J370" i="4"/>
  <c r="J393" i="4"/>
  <c r="J395" i="4"/>
  <c r="J398" i="4"/>
  <c r="J400" i="4"/>
  <c r="J403" i="4"/>
  <c r="J405" i="4"/>
  <c r="J408" i="4"/>
  <c r="J410" i="4"/>
  <c r="I415" i="4"/>
  <c r="J415" i="4" s="1"/>
  <c r="I425" i="4"/>
  <c r="J425" i="4" s="1"/>
  <c r="I438" i="4"/>
  <c r="T440" i="4"/>
  <c r="I465" i="4"/>
  <c r="J465" i="4" s="1"/>
  <c r="T508" i="4"/>
  <c r="J510" i="4"/>
  <c r="T530" i="4"/>
  <c r="J538" i="4"/>
  <c r="T565" i="4"/>
  <c r="T583" i="4"/>
  <c r="I585" i="4"/>
  <c r="T590" i="4"/>
  <c r="T613" i="4"/>
  <c r="T620" i="4"/>
  <c r="T625" i="4"/>
  <c r="T635" i="4"/>
  <c r="T645" i="4"/>
  <c r="S681" i="4"/>
  <c r="T680" i="4" s="1"/>
  <c r="L681" i="4"/>
  <c r="J685" i="4"/>
  <c r="T690" i="4"/>
  <c r="S696" i="4"/>
  <c r="T695" i="4" s="1"/>
  <c r="L696" i="4"/>
  <c r="T703" i="4"/>
  <c r="S706" i="4"/>
  <c r="T705" i="4" s="1"/>
  <c r="L706" i="4"/>
  <c r="I710" i="4"/>
  <c r="S746" i="4"/>
  <c r="T745" i="4" s="1"/>
  <c r="L746" i="4"/>
  <c r="T755" i="4"/>
  <c r="S761" i="4"/>
  <c r="T760" i="4" s="1"/>
  <c r="L761" i="4"/>
  <c r="T765" i="4"/>
  <c r="I784" i="4"/>
  <c r="B784" i="4"/>
  <c r="S804" i="4"/>
  <c r="L804" i="4"/>
  <c r="S811" i="4"/>
  <c r="L811" i="4"/>
  <c r="S818" i="4"/>
  <c r="T818" i="4" s="1"/>
  <c r="L818" i="4"/>
  <c r="I825" i="4"/>
  <c r="J825" i="4" s="1"/>
  <c r="B825" i="4"/>
  <c r="S826" i="4"/>
  <c r="T825" i="4" s="1"/>
  <c r="L826" i="4"/>
  <c r="I836" i="4"/>
  <c r="B836" i="4"/>
  <c r="S841" i="4"/>
  <c r="L841" i="4"/>
  <c r="J850" i="4"/>
  <c r="I853" i="4"/>
  <c r="J853" i="4" s="1"/>
  <c r="B853" i="4"/>
  <c r="B859" i="4"/>
  <c r="I859" i="4"/>
  <c r="S866" i="4"/>
  <c r="L866" i="4"/>
  <c r="J873" i="4"/>
  <c r="B873" i="4"/>
  <c r="S874" i="4"/>
  <c r="T873" i="4" s="1"/>
  <c r="L874" i="4"/>
  <c r="J883" i="4"/>
  <c r="S889" i="4"/>
  <c r="T888" i="4" s="1"/>
  <c r="L889" i="4"/>
  <c r="I895" i="4"/>
  <c r="B895" i="4"/>
  <c r="I900" i="4"/>
  <c r="B900" i="4"/>
  <c r="S911" i="4"/>
  <c r="T910" i="4" s="1"/>
  <c r="L911" i="4"/>
  <c r="I928" i="4"/>
  <c r="B928" i="4"/>
  <c r="S930" i="4"/>
  <c r="L930" i="4"/>
  <c r="S965" i="4"/>
  <c r="L965" i="4"/>
  <c r="S1035" i="4"/>
  <c r="T1035" i="4" s="1"/>
  <c r="L1035" i="4"/>
  <c r="J353" i="4"/>
  <c r="J355" i="4"/>
  <c r="T410" i="4"/>
  <c r="J468" i="4"/>
  <c r="J470" i="4"/>
  <c r="L564" i="4"/>
  <c r="L566" i="4"/>
  <c r="B569" i="4"/>
  <c r="L570" i="4"/>
  <c r="L575" i="4"/>
  <c r="L598" i="4"/>
  <c r="B601" i="4"/>
  <c r="L603" i="4"/>
  <c r="L605" i="4"/>
  <c r="L608" i="4"/>
  <c r="B613" i="4"/>
  <c r="L616" i="4"/>
  <c r="L619" i="4"/>
  <c r="L621" i="4"/>
  <c r="B625" i="4"/>
  <c r="L628" i="4"/>
  <c r="B630" i="4"/>
  <c r="L631" i="4"/>
  <c r="B635" i="4"/>
  <c r="L638" i="4"/>
  <c r="B640" i="4"/>
  <c r="L641" i="4"/>
  <c r="L644" i="4"/>
  <c r="L646" i="4"/>
  <c r="L648" i="4"/>
  <c r="B651" i="4"/>
  <c r="L653" i="4"/>
  <c r="L655" i="4"/>
  <c r="L660" i="4"/>
  <c r="S678" i="4"/>
  <c r="T678" i="4" s="1"/>
  <c r="L678" i="4"/>
  <c r="L680" i="4"/>
  <c r="L683" i="4"/>
  <c r="S693" i="4"/>
  <c r="T693" i="4" s="1"/>
  <c r="L693" i="4"/>
  <c r="L695" i="4"/>
  <c r="L705" i="4"/>
  <c r="S714" i="4"/>
  <c r="L714" i="4"/>
  <c r="B716" i="4"/>
  <c r="L718" i="4"/>
  <c r="L720" i="4"/>
  <c r="L724" i="4"/>
  <c r="B726" i="4"/>
  <c r="L734" i="4"/>
  <c r="B736" i="4"/>
  <c r="S741" i="4"/>
  <c r="T740" i="4" s="1"/>
  <c r="L741" i="4"/>
  <c r="L748" i="4"/>
  <c r="S758" i="4"/>
  <c r="T758" i="4" s="1"/>
  <c r="L758" i="4"/>
  <c r="L760" i="4"/>
  <c r="L778" i="4"/>
  <c r="S781" i="4"/>
  <c r="L781" i="4"/>
  <c r="I810" i="4"/>
  <c r="J810" i="4" s="1"/>
  <c r="B810" i="4"/>
  <c r="I830" i="4"/>
  <c r="B830" i="4"/>
  <c r="S834" i="4"/>
  <c r="L834" i="4"/>
  <c r="I840" i="4"/>
  <c r="J840" i="4" s="1"/>
  <c r="B840" i="4"/>
  <c r="S843" i="4"/>
  <c r="T843" i="4" s="1"/>
  <c r="L843" i="4"/>
  <c r="I855" i="4"/>
  <c r="J855" i="4" s="1"/>
  <c r="B855" i="4"/>
  <c r="S856" i="4"/>
  <c r="T855" i="4" s="1"/>
  <c r="L856" i="4"/>
  <c r="S870" i="4"/>
  <c r="T870" i="4" s="1"/>
  <c r="L870" i="4"/>
  <c r="I878" i="4"/>
  <c r="J878" i="4" s="1"/>
  <c r="B878" i="4"/>
  <c r="I888" i="4"/>
  <c r="J888" i="4" s="1"/>
  <c r="B888" i="4"/>
  <c r="S893" i="4"/>
  <c r="T893" i="4" s="1"/>
  <c r="L893" i="4"/>
  <c r="S921" i="4"/>
  <c r="T920" i="4" s="1"/>
  <c r="L921" i="4"/>
  <c r="S949" i="4"/>
  <c r="T948" i="4" s="1"/>
  <c r="L949" i="4"/>
  <c r="S954" i="4"/>
  <c r="T953" i="4" s="1"/>
  <c r="L954" i="4"/>
  <c r="I1001" i="4"/>
  <c r="J1000" i="4" s="1"/>
  <c r="B1001" i="4"/>
  <c r="S1059" i="4"/>
  <c r="L1059" i="4"/>
  <c r="S1061" i="4"/>
  <c r="T1060" i="4" s="1"/>
  <c r="L1061" i="4"/>
  <c r="S674" i="4"/>
  <c r="T673" i="4" s="1"/>
  <c r="L674" i="4"/>
  <c r="S739" i="4"/>
  <c r="T738" i="4" s="1"/>
  <c r="L739" i="4"/>
  <c r="S769" i="4"/>
  <c r="T768" i="4" s="1"/>
  <c r="L769" i="4"/>
  <c r="B783" i="4"/>
  <c r="S810" i="4"/>
  <c r="L810" i="4"/>
  <c r="S821" i="4"/>
  <c r="L821" i="4"/>
  <c r="I835" i="4"/>
  <c r="B835" i="4"/>
  <c r="S840" i="4"/>
  <c r="L840" i="4"/>
  <c r="I844" i="4"/>
  <c r="B844" i="4"/>
  <c r="B860" i="4"/>
  <c r="I860" i="4"/>
  <c r="S861" i="4"/>
  <c r="T860" i="4" s="1"/>
  <c r="L861" i="4"/>
  <c r="I871" i="4"/>
  <c r="J870" i="4" s="1"/>
  <c r="B871" i="4"/>
  <c r="S908" i="4"/>
  <c r="T908" i="4" s="1"/>
  <c r="L908" i="4"/>
  <c r="S941" i="4"/>
  <c r="T940" i="4" s="1"/>
  <c r="L941" i="4"/>
  <c r="S1050" i="4"/>
  <c r="T1050" i="4" s="1"/>
  <c r="L1050" i="4"/>
  <c r="T350" i="4"/>
  <c r="T360" i="4"/>
  <c r="L409" i="4"/>
  <c r="L411" i="4"/>
  <c r="L418" i="4"/>
  <c r="B420" i="4"/>
  <c r="L421" i="4"/>
  <c r="L428" i="4"/>
  <c r="B430" i="4"/>
  <c r="L431" i="4"/>
  <c r="B434" i="4"/>
  <c r="L435" i="4"/>
  <c r="L441" i="4"/>
  <c r="B444" i="4"/>
  <c r="L445" i="4"/>
  <c r="J448" i="4"/>
  <c r="B453" i="4"/>
  <c r="L454" i="4"/>
  <c r="B456" i="4"/>
  <c r="L458" i="4"/>
  <c r="B460" i="4"/>
  <c r="L461" i="4"/>
  <c r="L473" i="4"/>
  <c r="B475" i="4"/>
  <c r="L476" i="4"/>
  <c r="B479" i="4"/>
  <c r="J563" i="4"/>
  <c r="J565" i="4"/>
  <c r="I583" i="4"/>
  <c r="I586" i="4"/>
  <c r="T615" i="4"/>
  <c r="J618" i="4"/>
  <c r="J620" i="4"/>
  <c r="J643" i="4"/>
  <c r="J645" i="4"/>
  <c r="S686" i="4"/>
  <c r="T685" i="4" s="1"/>
  <c r="L686" i="4"/>
  <c r="I690" i="4"/>
  <c r="J690" i="4" s="1"/>
  <c r="S700" i="4"/>
  <c r="T700" i="4" s="1"/>
  <c r="L700" i="4"/>
  <c r="I703" i="4"/>
  <c r="J703" i="4" s="1"/>
  <c r="T723" i="4"/>
  <c r="S726" i="4"/>
  <c r="L726" i="4"/>
  <c r="I729" i="4"/>
  <c r="J728" i="4" s="1"/>
  <c r="T733" i="4"/>
  <c r="S736" i="4"/>
  <c r="L736" i="4"/>
  <c r="S751" i="4"/>
  <c r="T750" i="4" s="1"/>
  <c r="L751" i="4"/>
  <c r="I755" i="4"/>
  <c r="J768" i="4"/>
  <c r="S785" i="4"/>
  <c r="T785" i="4" s="1"/>
  <c r="L785" i="4"/>
  <c r="S803" i="4"/>
  <c r="L803" i="4"/>
  <c r="S808" i="4"/>
  <c r="T808" i="4" s="1"/>
  <c r="L808" i="4"/>
  <c r="I815" i="4"/>
  <c r="J815" i="4" s="1"/>
  <c r="B815" i="4"/>
  <c r="S816" i="4"/>
  <c r="T815" i="4" s="1"/>
  <c r="L816" i="4"/>
  <c r="I823" i="4"/>
  <c r="J823" i="4" s="1"/>
  <c r="B823" i="4"/>
  <c r="I833" i="4"/>
  <c r="B833" i="4"/>
  <c r="S838" i="4"/>
  <c r="L838" i="4"/>
  <c r="I848" i="4"/>
  <c r="B848" i="4"/>
  <c r="S849" i="4"/>
  <c r="T848" i="4" s="1"/>
  <c r="L849" i="4"/>
  <c r="I869" i="4"/>
  <c r="B869" i="4"/>
  <c r="I880" i="4"/>
  <c r="B880" i="4"/>
  <c r="I891" i="4"/>
  <c r="J890" i="4" s="1"/>
  <c r="B891" i="4"/>
  <c r="S896" i="4"/>
  <c r="T895" i="4" s="1"/>
  <c r="L896" i="4"/>
  <c r="I914" i="4"/>
  <c r="J913" i="4" s="1"/>
  <c r="B914" i="4"/>
  <c r="S934" i="4"/>
  <c r="T933" i="4" s="1"/>
  <c r="L934" i="4"/>
  <c r="I1045" i="4"/>
  <c r="B1045" i="4"/>
  <c r="T513" i="4"/>
  <c r="T520" i="4"/>
  <c r="T553" i="4"/>
  <c r="J568" i="4"/>
  <c r="T573" i="4"/>
  <c r="T630" i="4"/>
  <c r="T640" i="4"/>
  <c r="T658" i="4"/>
  <c r="T665" i="4"/>
  <c r="T670" i="4"/>
  <c r="I675" i="4"/>
  <c r="S684" i="4"/>
  <c r="T683" i="4" s="1"/>
  <c r="L684" i="4"/>
  <c r="I699" i="4"/>
  <c r="J698" i="4" s="1"/>
  <c r="B699" i="4"/>
  <c r="J725" i="4"/>
  <c r="J735" i="4"/>
  <c r="S749" i="4"/>
  <c r="T748" i="4" s="1"/>
  <c r="L749" i="4"/>
  <c r="I770" i="4"/>
  <c r="I786" i="4"/>
  <c r="J785" i="4" s="1"/>
  <c r="B786" i="4"/>
  <c r="B804" i="4"/>
  <c r="I804" i="4"/>
  <c r="I809" i="4"/>
  <c r="J808" i="4" s="1"/>
  <c r="B809" i="4"/>
  <c r="B818" i="4"/>
  <c r="I818" i="4"/>
  <c r="S833" i="4"/>
  <c r="L833" i="4"/>
  <c r="I839" i="4"/>
  <c r="J838" i="4" s="1"/>
  <c r="B839" i="4"/>
  <c r="S851" i="4"/>
  <c r="T850" i="4" s="1"/>
  <c r="L851" i="4"/>
  <c r="S869" i="4"/>
  <c r="L869" i="4"/>
  <c r="S884" i="4"/>
  <c r="T883" i="4" s="1"/>
  <c r="L884" i="4"/>
  <c r="S968" i="4"/>
  <c r="L968" i="4"/>
  <c r="S1043" i="4"/>
  <c r="L1043" i="4"/>
  <c r="T688" i="4"/>
  <c r="T708" i="4"/>
  <c r="J718" i="4"/>
  <c r="J720" i="4"/>
  <c r="T753" i="4"/>
  <c r="J765" i="4"/>
  <c r="T770" i="4"/>
  <c r="J773" i="4"/>
  <c r="J775" i="4"/>
  <c r="J788" i="4"/>
  <c r="J793" i="4"/>
  <c r="J795" i="4"/>
  <c r="J798" i="4"/>
  <c r="J800" i="4"/>
  <c r="T813" i="4"/>
  <c r="T823" i="4"/>
  <c r="T830" i="4"/>
  <c r="T845" i="4"/>
  <c r="T885" i="4"/>
  <c r="T905" i="4"/>
  <c r="S915" i="4"/>
  <c r="L915" i="4"/>
  <c r="I930" i="4"/>
  <c r="J930" i="4" s="1"/>
  <c r="B930" i="4"/>
  <c r="S956" i="4"/>
  <c r="T955" i="4" s="1"/>
  <c r="L956" i="4"/>
  <c r="I963" i="4"/>
  <c r="B963" i="4"/>
  <c r="S971" i="4"/>
  <c r="T970" i="4" s="1"/>
  <c r="L971" i="4"/>
  <c r="L990" i="4"/>
  <c r="S990" i="4"/>
  <c r="S1000" i="4"/>
  <c r="T1000" i="4" s="1"/>
  <c r="L1000" i="4"/>
  <c r="J1005" i="4"/>
  <c r="S1009" i="4"/>
  <c r="L1009" i="4"/>
  <c r="I1015" i="4"/>
  <c r="J1015" i="4" s="1"/>
  <c r="B1015" i="4"/>
  <c r="S1026" i="4"/>
  <c r="T1025" i="4" s="1"/>
  <c r="L1026" i="4"/>
  <c r="L881" i="4"/>
  <c r="B885" i="4"/>
  <c r="L888" i="4"/>
  <c r="B890" i="4"/>
  <c r="L891" i="4"/>
  <c r="B894" i="4"/>
  <c r="L895" i="4"/>
  <c r="B898" i="4"/>
  <c r="L901" i="4"/>
  <c r="L904" i="4"/>
  <c r="L906" i="4"/>
  <c r="L910" i="4"/>
  <c r="B913" i="4"/>
  <c r="S919" i="4"/>
  <c r="T918" i="4" s="1"/>
  <c r="L919" i="4"/>
  <c r="S928" i="4"/>
  <c r="T928" i="4" s="1"/>
  <c r="L928" i="4"/>
  <c r="B931" i="4"/>
  <c r="B935" i="4"/>
  <c r="I935" i="4"/>
  <c r="J935" i="4" s="1"/>
  <c r="S936" i="4"/>
  <c r="T935" i="4" s="1"/>
  <c r="L936" i="4"/>
  <c r="B943" i="4"/>
  <c r="I943" i="4"/>
  <c r="S944" i="4"/>
  <c r="T943" i="4" s="1"/>
  <c r="L944" i="4"/>
  <c r="B950" i="4"/>
  <c r="I950" i="4"/>
  <c r="J950" i="4" s="1"/>
  <c r="S951" i="4"/>
  <c r="T950" i="4" s="1"/>
  <c r="L951" i="4"/>
  <c r="S960" i="4"/>
  <c r="L960" i="4"/>
  <c r="I966" i="4"/>
  <c r="J965" i="4" s="1"/>
  <c r="B966" i="4"/>
  <c r="L973" i="4"/>
  <c r="B980" i="4"/>
  <c r="I980" i="4"/>
  <c r="J980" i="4" s="1"/>
  <c r="S981" i="4"/>
  <c r="T980" i="4" s="1"/>
  <c r="L981" i="4"/>
  <c r="L988" i="4"/>
  <c r="S988" i="4"/>
  <c r="L991" i="4"/>
  <c r="S991" i="4"/>
  <c r="B996" i="4"/>
  <c r="I999" i="4"/>
  <c r="B999" i="4"/>
  <c r="S1013" i="4"/>
  <c r="T1013" i="4" s="1"/>
  <c r="L1013" i="4"/>
  <c r="S1021" i="4"/>
  <c r="T1020" i="4" s="1"/>
  <c r="L1021" i="4"/>
  <c r="S1030" i="4"/>
  <c r="T1030" i="4" s="1"/>
  <c r="L1030" i="4"/>
  <c r="S1039" i="4"/>
  <c r="T1038" i="4" s="1"/>
  <c r="L1039" i="4"/>
  <c r="L1041" i="4"/>
  <c r="S1048" i="4"/>
  <c r="L1048" i="4"/>
  <c r="I1060" i="4"/>
  <c r="J1060" i="4" s="1"/>
  <c r="B1060" i="4"/>
  <c r="S1199" i="4"/>
  <c r="T1198" i="4" s="1"/>
  <c r="L1199" i="4"/>
  <c r="I1209" i="4"/>
  <c r="J1208" i="4" s="1"/>
  <c r="B1209" i="4"/>
  <c r="I1213" i="4"/>
  <c r="J1213" i="4" s="1"/>
  <c r="B1213" i="4"/>
  <c r="I1216" i="4"/>
  <c r="J1215" i="4" s="1"/>
  <c r="B1216" i="4"/>
  <c r="J1220" i="4"/>
  <c r="B1220" i="4"/>
  <c r="I1224" i="4"/>
  <c r="J1223" i="4" s="1"/>
  <c r="B1224" i="4"/>
  <c r="I1228" i="4"/>
  <c r="J1228" i="4" s="1"/>
  <c r="B1228" i="4"/>
  <c r="I1231" i="4"/>
  <c r="J1230" i="4" s="1"/>
  <c r="B1231" i="4"/>
  <c r="S916" i="4"/>
  <c r="L916" i="4"/>
  <c r="I929" i="4"/>
  <c r="B929" i="4"/>
  <c r="S958" i="4"/>
  <c r="T958" i="4" s="1"/>
  <c r="L958" i="4"/>
  <c r="I964" i="4"/>
  <c r="B964" i="4"/>
  <c r="S984" i="4"/>
  <c r="L984" i="4"/>
  <c r="B993" i="4"/>
  <c r="I993" i="4"/>
  <c r="S994" i="4"/>
  <c r="T993" i="4" s="1"/>
  <c r="L994" i="4"/>
  <c r="S999" i="4"/>
  <c r="T998" i="4" s="1"/>
  <c r="L999" i="4"/>
  <c r="S1019" i="4"/>
  <c r="T1018" i="4" s="1"/>
  <c r="L1019" i="4"/>
  <c r="I1086" i="4"/>
  <c r="B1086" i="4"/>
  <c r="S1091" i="4"/>
  <c r="L1091" i="4"/>
  <c r="I1098" i="4"/>
  <c r="J1098" i="4" s="1"/>
  <c r="B1098" i="4"/>
  <c r="S1103" i="4"/>
  <c r="T1103" i="4" s="1"/>
  <c r="L1103" i="4"/>
  <c r="I1109" i="4"/>
  <c r="B1109" i="4"/>
  <c r="S1114" i="4"/>
  <c r="L1114" i="4"/>
  <c r="S1118" i="4"/>
  <c r="L1118" i="4"/>
  <c r="S1121" i="4"/>
  <c r="L1121" i="4"/>
  <c r="S1125" i="4"/>
  <c r="L1125" i="4"/>
  <c r="S1129" i="4"/>
  <c r="L1129" i="4"/>
  <c r="S1139" i="4"/>
  <c r="L1139" i="4"/>
  <c r="S1143" i="4"/>
  <c r="L1143" i="4"/>
  <c r="S1146" i="4"/>
  <c r="L1146" i="4"/>
  <c r="T880" i="4"/>
  <c r="T900" i="4"/>
  <c r="J903" i="4"/>
  <c r="J905" i="4"/>
  <c r="S931" i="4"/>
  <c r="L931" i="4"/>
  <c r="J938" i="4"/>
  <c r="S939" i="4"/>
  <c r="L939" i="4"/>
  <c r="J945" i="4"/>
  <c r="S946" i="4"/>
  <c r="T945" i="4" s="1"/>
  <c r="L946" i="4"/>
  <c r="I959" i="4"/>
  <c r="B959" i="4"/>
  <c r="S964" i="4"/>
  <c r="T963" i="4" s="1"/>
  <c r="L964" i="4"/>
  <c r="S976" i="4"/>
  <c r="T975" i="4" s="1"/>
  <c r="L976" i="4"/>
  <c r="L989" i="4"/>
  <c r="S989" i="4"/>
  <c r="S996" i="4"/>
  <c r="T995" i="4" s="1"/>
  <c r="L996" i="4"/>
  <c r="B1003" i="4"/>
  <c r="I1003" i="4"/>
  <c r="J1003" i="4" s="1"/>
  <c r="S1004" i="4"/>
  <c r="T1003" i="4" s="1"/>
  <c r="L1004" i="4"/>
  <c r="S1016" i="4"/>
  <c r="T1015" i="4" s="1"/>
  <c r="L1016" i="4"/>
  <c r="I1029" i="4"/>
  <c r="J1028" i="4" s="1"/>
  <c r="B1029" i="4"/>
  <c r="I1038" i="4"/>
  <c r="J1038" i="4" s="1"/>
  <c r="B1038" i="4"/>
  <c r="I1046" i="4"/>
  <c r="S1055" i="4"/>
  <c r="L1055" i="4"/>
  <c r="S1073" i="4"/>
  <c r="L1073" i="4"/>
  <c r="I1079" i="4"/>
  <c r="J1078" i="4" s="1"/>
  <c r="B1079" i="4"/>
  <c r="S1086" i="4"/>
  <c r="T1085" i="4" s="1"/>
  <c r="L1086" i="4"/>
  <c r="I1093" i="4"/>
  <c r="B1093" i="4"/>
  <c r="S1098" i="4"/>
  <c r="L1098" i="4"/>
  <c r="I1104" i="4"/>
  <c r="J1103" i="4" s="1"/>
  <c r="B1104" i="4"/>
  <c r="S1109" i="4"/>
  <c r="T1108" i="4" s="1"/>
  <c r="L1109" i="4"/>
  <c r="I1115" i="4"/>
  <c r="B1115" i="4"/>
  <c r="I1119" i="4"/>
  <c r="B1119" i="4"/>
  <c r="I1123" i="4"/>
  <c r="B1123" i="4"/>
  <c r="I1126" i="4"/>
  <c r="B1126" i="4"/>
  <c r="I1130" i="4"/>
  <c r="B1130" i="4"/>
  <c r="I1140" i="4"/>
  <c r="B1140" i="4"/>
  <c r="I1144" i="4"/>
  <c r="B1144" i="4"/>
  <c r="I1148" i="4"/>
  <c r="J1148" i="4" s="1"/>
  <c r="B1148" i="4"/>
  <c r="T728" i="4"/>
  <c r="J758" i="4"/>
  <c r="I821" i="4"/>
  <c r="I858" i="4"/>
  <c r="J893" i="4"/>
  <c r="L898" i="4"/>
  <c r="L903" i="4"/>
  <c r="L905" i="4"/>
  <c r="I908" i="4"/>
  <c r="I911" i="4"/>
  <c r="I915" i="4"/>
  <c r="J915" i="4" s="1"/>
  <c r="B915" i="4"/>
  <c r="L918" i="4"/>
  <c r="B925" i="4"/>
  <c r="I925" i="4"/>
  <c r="S926" i="4"/>
  <c r="L926" i="4"/>
  <c r="L959" i="4"/>
  <c r="S961" i="4"/>
  <c r="L961" i="4"/>
  <c r="B965" i="4"/>
  <c r="B968" i="4"/>
  <c r="I968" i="4"/>
  <c r="J968" i="4" s="1"/>
  <c r="S969" i="4"/>
  <c r="L969" i="4"/>
  <c r="S974" i="4"/>
  <c r="T973" i="4" s="1"/>
  <c r="L974" i="4"/>
  <c r="I985" i="4"/>
  <c r="J985" i="4" s="1"/>
  <c r="J995" i="4"/>
  <c r="I998" i="4"/>
  <c r="B998" i="4"/>
  <c r="L1003" i="4"/>
  <c r="S1006" i="4"/>
  <c r="T1005" i="4" s="1"/>
  <c r="L1006" i="4"/>
  <c r="L1054" i="4"/>
  <c r="I1066" i="4"/>
  <c r="B1066" i="4"/>
  <c r="J1075" i="4"/>
  <c r="S1076" i="4"/>
  <c r="T1075" i="4" s="1"/>
  <c r="L1076" i="4"/>
  <c r="J918" i="4"/>
  <c r="J920" i="4"/>
  <c r="J973" i="4"/>
  <c r="J975" i="4"/>
  <c r="J1033" i="4"/>
  <c r="J1035" i="4"/>
  <c r="I1054" i="4"/>
  <c r="I1064" i="4"/>
  <c r="J1063" i="4" s="1"/>
  <c r="B1064" i="4"/>
  <c r="T1070" i="4"/>
  <c r="S1080" i="4"/>
  <c r="T1080" i="4" s="1"/>
  <c r="L1080" i="4"/>
  <c r="S1083" i="4"/>
  <c r="L1083" i="4"/>
  <c r="I1089" i="4"/>
  <c r="J1088" i="4" s="1"/>
  <c r="B1089" i="4"/>
  <c r="S1094" i="4"/>
  <c r="T1093" i="4" s="1"/>
  <c r="L1094" i="4"/>
  <c r="I1100" i="4"/>
  <c r="B1100" i="4"/>
  <c r="S1105" i="4"/>
  <c r="L1105" i="4"/>
  <c r="I1111" i="4"/>
  <c r="J1110" i="4" s="1"/>
  <c r="B1111" i="4"/>
  <c r="I1118" i="4"/>
  <c r="B1118" i="4"/>
  <c r="I1121" i="4"/>
  <c r="B1121" i="4"/>
  <c r="I1125" i="4"/>
  <c r="B1125" i="4"/>
  <c r="I1129" i="4"/>
  <c r="B1129" i="4"/>
  <c r="I1139" i="4"/>
  <c r="B1139" i="4"/>
  <c r="I1143" i="4"/>
  <c r="B1143" i="4"/>
  <c r="I1146" i="4"/>
  <c r="B1146" i="4"/>
  <c r="L1156" i="4"/>
  <c r="S1156" i="4"/>
  <c r="T1155" i="4" s="1"/>
  <c r="S1201" i="4"/>
  <c r="T1200" i="4" s="1"/>
  <c r="L1201" i="4"/>
  <c r="I1251" i="4"/>
  <c r="J1250" i="4" s="1"/>
  <c r="B1251" i="4"/>
  <c r="S1168" i="4"/>
  <c r="T1168" i="4" s="1"/>
  <c r="L1168" i="4"/>
  <c r="S1196" i="4"/>
  <c r="T1195" i="4" s="1"/>
  <c r="L1196" i="4"/>
  <c r="S1238" i="4"/>
  <c r="T1238" i="4" s="1"/>
  <c r="L1238" i="4"/>
  <c r="S1241" i="4"/>
  <c r="T1240" i="4" s="1"/>
  <c r="L1241" i="4"/>
  <c r="S1245" i="4"/>
  <c r="T1245" i="4" s="1"/>
  <c r="L1245" i="4"/>
  <c r="S1249" i="4"/>
  <c r="T1248" i="4" s="1"/>
  <c r="L1249" i="4"/>
  <c r="T1053" i="4"/>
  <c r="S1058" i="4"/>
  <c r="L1058" i="4"/>
  <c r="S1084" i="4"/>
  <c r="L1084" i="4"/>
  <c r="I1090" i="4"/>
  <c r="J1090" i="4" s="1"/>
  <c r="B1090" i="4"/>
  <c r="S1095" i="4"/>
  <c r="T1095" i="4" s="1"/>
  <c r="L1095" i="4"/>
  <c r="I1101" i="4"/>
  <c r="B1101" i="4"/>
  <c r="S1106" i="4"/>
  <c r="L1106" i="4"/>
  <c r="I1113" i="4"/>
  <c r="J1113" i="4" s="1"/>
  <c r="B1113" i="4"/>
  <c r="S1115" i="4"/>
  <c r="L1115" i="4"/>
  <c r="S1119" i="4"/>
  <c r="L1119" i="4"/>
  <c r="S1123" i="4"/>
  <c r="L1123" i="4"/>
  <c r="S1126" i="4"/>
  <c r="L1126" i="4"/>
  <c r="S1130" i="4"/>
  <c r="L1130" i="4"/>
  <c r="S1136" i="4"/>
  <c r="L1136" i="4"/>
  <c r="S1140" i="4"/>
  <c r="L1140" i="4"/>
  <c r="S1144" i="4"/>
  <c r="L1144" i="4"/>
  <c r="I1151" i="4"/>
  <c r="B1151" i="4"/>
  <c r="B1193" i="4"/>
  <c r="I1193" i="4"/>
  <c r="J1193" i="4" s="1"/>
  <c r="T923" i="4"/>
  <c r="T978" i="4"/>
  <c r="T985" i="4"/>
  <c r="J988" i="4"/>
  <c r="J990" i="4"/>
  <c r="L1010" i="4"/>
  <c r="B1013" i="4"/>
  <c r="L1014" i="4"/>
  <c r="B1016" i="4"/>
  <c r="L1028" i="4"/>
  <c r="B1030" i="4"/>
  <c r="L1031" i="4"/>
  <c r="L1034" i="4"/>
  <c r="L1036" i="4"/>
  <c r="B1039" i="4"/>
  <c r="T1040" i="4"/>
  <c r="L1045" i="4"/>
  <c r="B1059" i="4"/>
  <c r="L1063" i="4"/>
  <c r="B1080" i="4"/>
  <c r="I1085" i="4"/>
  <c r="B1085" i="4"/>
  <c r="S1090" i="4"/>
  <c r="L1090" i="4"/>
  <c r="I1096" i="4"/>
  <c r="J1095" i="4" s="1"/>
  <c r="B1096" i="4"/>
  <c r="S1101" i="4"/>
  <c r="T1100" i="4" s="1"/>
  <c r="L1101" i="4"/>
  <c r="I1108" i="4"/>
  <c r="B1108" i="4"/>
  <c r="S1113" i="4"/>
  <c r="L1113" i="4"/>
  <c r="I1116" i="4"/>
  <c r="B1116" i="4"/>
  <c r="I1120" i="4"/>
  <c r="B1120" i="4"/>
  <c r="I1124" i="4"/>
  <c r="B1124" i="4"/>
  <c r="I1128" i="4"/>
  <c r="B1128" i="4"/>
  <c r="I1131" i="4"/>
  <c r="B1131" i="4"/>
  <c r="S1134" i="4"/>
  <c r="T1133" i="4" s="1"/>
  <c r="L1134" i="4"/>
  <c r="I1138" i="4"/>
  <c r="B1138" i="4"/>
  <c r="I1141" i="4"/>
  <c r="B1141" i="4"/>
  <c r="I1145" i="4"/>
  <c r="B1145" i="4"/>
  <c r="I1154" i="4"/>
  <c r="J1153" i="4" s="1"/>
  <c r="B1154" i="4"/>
  <c r="S1206" i="4"/>
  <c r="T1205" i="4" s="1"/>
  <c r="L1206" i="4"/>
  <c r="S1210" i="4"/>
  <c r="T1210" i="4" s="1"/>
  <c r="L1210" i="4"/>
  <c r="S1214" i="4"/>
  <c r="T1213" i="4" s="1"/>
  <c r="L1214" i="4"/>
  <c r="S1218" i="4"/>
  <c r="T1218" i="4" s="1"/>
  <c r="L1218" i="4"/>
  <c r="S1221" i="4"/>
  <c r="T1220" i="4" s="1"/>
  <c r="L1221" i="4"/>
  <c r="S1225" i="4"/>
  <c r="T1225" i="4" s="1"/>
  <c r="L1225" i="4"/>
  <c r="S1229" i="4"/>
  <c r="T1228" i="4" s="1"/>
  <c r="L1229" i="4"/>
  <c r="S1253" i="4"/>
  <c r="T1253" i="4" s="1"/>
  <c r="L1253" i="4"/>
  <c r="J1048" i="4"/>
  <c r="J1050" i="4"/>
  <c r="S1065" i="4"/>
  <c r="T1065" i="4" s="1"/>
  <c r="L1065" i="4"/>
  <c r="J1080" i="4"/>
  <c r="I1083" i="4"/>
  <c r="J1083" i="4" s="1"/>
  <c r="B1083" i="4"/>
  <c r="S1088" i="4"/>
  <c r="T1088" i="4" s="1"/>
  <c r="L1088" i="4"/>
  <c r="I1094" i="4"/>
  <c r="B1094" i="4"/>
  <c r="S1099" i="4"/>
  <c r="L1099" i="4"/>
  <c r="I1105" i="4"/>
  <c r="J1105" i="4" s="1"/>
  <c r="B1105" i="4"/>
  <c r="S1110" i="4"/>
  <c r="T1110" i="4" s="1"/>
  <c r="L1110" i="4"/>
  <c r="S1116" i="4"/>
  <c r="L1116" i="4"/>
  <c r="S1120" i="4"/>
  <c r="L1120" i="4"/>
  <c r="S1124" i="4"/>
  <c r="L1124" i="4"/>
  <c r="S1128" i="4"/>
  <c r="L1128" i="4"/>
  <c r="S1131" i="4"/>
  <c r="L1131" i="4"/>
  <c r="S1138" i="4"/>
  <c r="L1138" i="4"/>
  <c r="S1141" i="4"/>
  <c r="L1141" i="4"/>
  <c r="S1145" i="4"/>
  <c r="L1145" i="4"/>
  <c r="S1154" i="4"/>
  <c r="L1154" i="4"/>
  <c r="I1156" i="4"/>
  <c r="B1156" i="4"/>
  <c r="I1159" i="4"/>
  <c r="J1158" i="4" s="1"/>
  <c r="B1159" i="4"/>
  <c r="S1160" i="4"/>
  <c r="T1160" i="4" s="1"/>
  <c r="L1160" i="4"/>
  <c r="S1204" i="4"/>
  <c r="L1204" i="4"/>
  <c r="I1240" i="4"/>
  <c r="J1240" i="4" s="1"/>
  <c r="B1240" i="4"/>
  <c r="I1244" i="4"/>
  <c r="J1243" i="4" s="1"/>
  <c r="B1244" i="4"/>
  <c r="I1248" i="4"/>
  <c r="J1248" i="4" s="1"/>
  <c r="B1248" i="4"/>
  <c r="J1068" i="4"/>
  <c r="I1161" i="4"/>
  <c r="J1160" i="4" s="1"/>
  <c r="T1163" i="4"/>
  <c r="J1165" i="4"/>
  <c r="T1188" i="4"/>
  <c r="I1195" i="4"/>
  <c r="T1235" i="4"/>
  <c r="L1170" i="4"/>
  <c r="L1173" i="4"/>
  <c r="L1175" i="4"/>
  <c r="L1195" i="4"/>
  <c r="J1198" i="4"/>
  <c r="J1200" i="4"/>
  <c r="J1203" i="4"/>
  <c r="J1205" i="4"/>
  <c r="B1208" i="4"/>
  <c r="L1209" i="4"/>
  <c r="B1211" i="4"/>
  <c r="L1213" i="4"/>
  <c r="B1215" i="4"/>
  <c r="L1216" i="4"/>
  <c r="B1219" i="4"/>
  <c r="L1220" i="4"/>
  <c r="B1223" i="4"/>
  <c r="L1224" i="4"/>
  <c r="B1226" i="4"/>
  <c r="L1228" i="4"/>
  <c r="B1230" i="4"/>
  <c r="L1231" i="4"/>
  <c r="B1239" i="4"/>
  <c r="L1240" i="4"/>
  <c r="B1243" i="4"/>
  <c r="L1244" i="4"/>
  <c r="B1246" i="4"/>
  <c r="L1248" i="4"/>
  <c r="B1250" i="4"/>
  <c r="L1251" i="4"/>
  <c r="B1254" i="4"/>
  <c r="J1133" i="4"/>
  <c r="J1135" i="4"/>
  <c r="L1158" i="4"/>
  <c r="L1193" i="4"/>
  <c r="L1208" i="4"/>
  <c r="B1210" i="4"/>
  <c r="L1211" i="4"/>
  <c r="B1214" i="4"/>
  <c r="L1215" i="4"/>
  <c r="B1218" i="4"/>
  <c r="L1219" i="4"/>
  <c r="B1221" i="4"/>
  <c r="L1223" i="4"/>
  <c r="B1225" i="4"/>
  <c r="L1226" i="4"/>
  <c r="B1229" i="4"/>
  <c r="L1230" i="4"/>
  <c r="B1233" i="4"/>
  <c r="B1235" i="4"/>
  <c r="B1238" i="4"/>
  <c r="L1239" i="4"/>
  <c r="B1241" i="4"/>
  <c r="L1243" i="4"/>
  <c r="B1245" i="4"/>
  <c r="L1246" i="4"/>
  <c r="B1249" i="4"/>
  <c r="T1208" i="4"/>
  <c r="J1210" i="4"/>
  <c r="T1215" i="4"/>
  <c r="J1218" i="4"/>
  <c r="T1223" i="4"/>
  <c r="J1225" i="4"/>
  <c r="T1230" i="4"/>
  <c r="J1238" i="4"/>
  <c r="T1243" i="4"/>
  <c r="J1245" i="4"/>
  <c r="T1250" i="4"/>
  <c r="J1253" i="4"/>
  <c r="L350" i="4"/>
  <c r="T348" i="4"/>
  <c r="L349" i="4"/>
  <c r="L351" i="4"/>
  <c r="L348" i="4"/>
  <c r="J350" i="4"/>
  <c r="B350" i="4"/>
  <c r="B348" i="4"/>
  <c r="L346" i="4"/>
  <c r="L344" i="4"/>
  <c r="T343" i="4"/>
  <c r="L343" i="4"/>
  <c r="B346" i="4"/>
  <c r="J343" i="4"/>
  <c r="B343" i="4"/>
  <c r="L339" i="4"/>
  <c r="T340" i="4"/>
  <c r="L341" i="4"/>
  <c r="L340" i="4"/>
  <c r="T338" i="4"/>
  <c r="L338" i="4"/>
  <c r="B341" i="4"/>
  <c r="J340" i="4"/>
  <c r="B338" i="4"/>
  <c r="L335" i="4"/>
  <c r="T333" i="4"/>
  <c r="L333" i="4"/>
  <c r="J335" i="4"/>
  <c r="B335" i="4"/>
  <c r="B336" i="4"/>
  <c r="J333" i="4"/>
  <c r="B334" i="4"/>
  <c r="B333" i="4"/>
  <c r="B331" i="4"/>
  <c r="B330" i="4"/>
  <c r="J328" i="4"/>
  <c r="B329" i="4"/>
  <c r="B328" i="4"/>
  <c r="T330" i="4"/>
  <c r="L331" i="4"/>
  <c r="L330" i="4"/>
  <c r="L329" i="4"/>
  <c r="T328" i="4"/>
  <c r="L328" i="4"/>
  <c r="T325" i="4"/>
  <c r="L326" i="4"/>
  <c r="L325" i="4"/>
  <c r="T323" i="4"/>
  <c r="L324" i="4"/>
  <c r="L323" i="4"/>
  <c r="B326" i="4"/>
  <c r="B325" i="4"/>
  <c r="B324" i="4"/>
  <c r="J323" i="4"/>
  <c r="B323" i="4"/>
  <c r="T320" i="4"/>
  <c r="L320" i="4"/>
  <c r="T318" i="4"/>
  <c r="L319" i="4"/>
  <c r="L318" i="4"/>
  <c r="B320" i="4"/>
  <c r="J318" i="4"/>
  <c r="B319" i="4"/>
  <c r="B321" i="4"/>
  <c r="J320" i="4"/>
  <c r="B318" i="4"/>
  <c r="T315" i="4"/>
  <c r="L316" i="4"/>
  <c r="L313" i="4"/>
  <c r="B316" i="4"/>
  <c r="J315" i="4"/>
  <c r="B315" i="4"/>
  <c r="B314" i="4"/>
  <c r="J313" i="4"/>
  <c r="B313" i="4"/>
  <c r="T310" i="4"/>
  <c r="L310" i="4"/>
  <c r="L309" i="4"/>
  <c r="J308" i="4"/>
  <c r="J305" i="4"/>
  <c r="J303" i="4"/>
  <c r="B304" i="4"/>
  <c r="L306" i="4"/>
  <c r="T305" i="4"/>
  <c r="L305" i="4"/>
  <c r="L304" i="4"/>
  <c r="T303" i="4"/>
  <c r="L303" i="4"/>
  <c r="L308" i="4"/>
  <c r="L301" i="4"/>
  <c r="L300" i="4"/>
  <c r="L299" i="4"/>
  <c r="L298" i="4"/>
  <c r="B298" i="4"/>
  <c r="J300" i="4"/>
  <c r="B300" i="4"/>
  <c r="B299" i="4"/>
  <c r="J298" i="4"/>
  <c r="L296" i="4"/>
  <c r="T295" i="4"/>
  <c r="L295" i="4"/>
  <c r="L294" i="4"/>
  <c r="L293" i="4"/>
  <c r="J295" i="4"/>
  <c r="J293" i="4"/>
  <c r="L291" i="4"/>
  <c r="T290" i="4"/>
  <c r="L290" i="4"/>
  <c r="L289" i="4"/>
  <c r="L288" i="4"/>
  <c r="J290" i="4"/>
  <c r="B291" i="4"/>
  <c r="B289" i="4"/>
  <c r="J288" i="4"/>
  <c r="L286" i="4"/>
  <c r="L285" i="4"/>
  <c r="T283" i="4"/>
  <c r="L284" i="4"/>
  <c r="L283" i="4"/>
  <c r="B286" i="4"/>
  <c r="J285" i="4"/>
  <c r="B285" i="4"/>
  <c r="J283" i="4"/>
  <c r="L281" i="4"/>
  <c r="T280" i="4"/>
  <c r="L280" i="4"/>
  <c r="L279" i="4"/>
  <c r="T278" i="4"/>
  <c r="J280" i="4"/>
  <c r="B280" i="4"/>
  <c r="J278" i="4"/>
  <c r="B278" i="4"/>
  <c r="L276" i="4"/>
  <c r="T275" i="4"/>
  <c r="L275" i="4"/>
  <c r="L274" i="4"/>
  <c r="T273" i="4"/>
  <c r="L273" i="4"/>
  <c r="B276" i="4"/>
  <c r="I275" i="4"/>
  <c r="J275" i="4" s="1"/>
  <c r="B273" i="4"/>
  <c r="B271" i="4"/>
  <c r="B270" i="4"/>
  <c r="B269" i="4"/>
  <c r="B268" i="4"/>
  <c r="B266" i="4"/>
  <c r="J265" i="4"/>
  <c r="B265" i="4"/>
  <c r="J263" i="4"/>
  <c r="L265" i="4"/>
  <c r="L263" i="4"/>
  <c r="L264" i="4"/>
  <c r="T263" i="4"/>
  <c r="L261" i="4"/>
  <c r="T260" i="4"/>
  <c r="L260" i="4"/>
  <c r="T258" i="4"/>
  <c r="L258" i="4"/>
  <c r="J260" i="4"/>
  <c r="B260" i="4"/>
  <c r="J258" i="4"/>
  <c r="B258" i="4"/>
  <c r="L256" i="4"/>
  <c r="T255" i="4"/>
  <c r="L255" i="4"/>
  <c r="L254" i="4"/>
  <c r="T253" i="4"/>
  <c r="L253" i="4"/>
  <c r="B256" i="4"/>
  <c r="B255" i="4"/>
  <c r="B254" i="4"/>
  <c r="J253" i="4"/>
  <c r="B253" i="4"/>
  <c r="L251" i="4"/>
  <c r="T250" i="4"/>
  <c r="T248" i="4"/>
  <c r="L248" i="4"/>
  <c r="B250" i="4"/>
  <c r="B249" i="4"/>
  <c r="J248" i="4"/>
  <c r="B248" i="4"/>
  <c r="B246" i="4"/>
  <c r="J243" i="4"/>
  <c r="B244" i="4"/>
  <c r="L246" i="4"/>
  <c r="T245" i="4"/>
  <c r="L245" i="4"/>
  <c r="T243" i="4"/>
  <c r="L244" i="4"/>
  <c r="L243" i="4"/>
  <c r="B243" i="4"/>
  <c r="B241" i="4"/>
  <c r="J240" i="4"/>
  <c r="B240" i="4"/>
  <c r="B239" i="4"/>
  <c r="J238" i="4"/>
  <c r="L241" i="4"/>
  <c r="T240" i="4"/>
  <c r="L239" i="4"/>
  <c r="T238" i="4"/>
  <c r="L238" i="4"/>
  <c r="B236" i="4"/>
  <c r="L236" i="4"/>
  <c r="L235" i="4"/>
  <c r="L234" i="4"/>
  <c r="L233" i="4"/>
  <c r="J235" i="4"/>
  <c r="B235" i="4"/>
  <c r="B234" i="4"/>
  <c r="I233" i="4"/>
  <c r="J233" i="4" s="1"/>
  <c r="T230" i="4"/>
  <c r="L230" i="4"/>
  <c r="L229" i="4"/>
  <c r="L228" i="4"/>
  <c r="B228" i="4"/>
  <c r="B230" i="4"/>
  <c r="J228" i="4"/>
  <c r="B229" i="4"/>
  <c r="T225" i="4"/>
  <c r="L226" i="4"/>
  <c r="L223" i="4"/>
  <c r="J225" i="4"/>
  <c r="B225" i="4"/>
  <c r="J223" i="4"/>
  <c r="B223" i="4"/>
  <c r="T220" i="4"/>
  <c r="L220" i="4"/>
  <c r="S219" i="4"/>
  <c r="S218" i="4"/>
  <c r="I221" i="4"/>
  <c r="J220" i="4" s="1"/>
  <c r="I219" i="4"/>
  <c r="I218" i="4"/>
  <c r="L213" i="4"/>
  <c r="L214" i="4"/>
  <c r="T213" i="4"/>
  <c r="J215" i="4"/>
  <c r="B215" i="4"/>
  <c r="I214" i="4"/>
  <c r="L211" i="4"/>
  <c r="L210" i="4"/>
  <c r="L209" i="4"/>
  <c r="B211" i="4"/>
  <c r="J210" i="4"/>
  <c r="L208" i="4"/>
  <c r="B210" i="4"/>
  <c r="B209" i="4"/>
  <c r="J208" i="4"/>
  <c r="T205" i="4"/>
  <c r="L205" i="4"/>
  <c r="T203" i="4"/>
  <c r="L203" i="4"/>
  <c r="B206" i="4"/>
  <c r="J205" i="4"/>
  <c r="B205" i="4"/>
  <c r="B203" i="4"/>
  <c r="T200" i="4"/>
  <c r="L201" i="4"/>
  <c r="T198" i="4"/>
  <c r="B201" i="4"/>
  <c r="J200" i="4"/>
  <c r="B200" i="4"/>
  <c r="B199" i="4"/>
  <c r="J198" i="4"/>
  <c r="B198" i="4"/>
  <c r="L196" i="4"/>
  <c r="T195" i="4"/>
  <c r="L195" i="4"/>
  <c r="L194" i="4"/>
  <c r="T193" i="4"/>
  <c r="L193" i="4"/>
  <c r="I194" i="4"/>
  <c r="J193" i="4" s="1"/>
  <c r="B196" i="4"/>
  <c r="I195" i="4"/>
  <c r="J195" i="4" s="1"/>
  <c r="B193" i="4"/>
  <c r="L191" i="4"/>
  <c r="L189" i="4"/>
  <c r="L188" i="4"/>
  <c r="J190" i="4"/>
  <c r="B190" i="4"/>
  <c r="I188" i="4"/>
  <c r="B186" i="4"/>
  <c r="J185" i="4"/>
  <c r="B185" i="4"/>
  <c r="J183" i="4"/>
  <c r="B184" i="4"/>
  <c r="L186" i="4"/>
  <c r="T185" i="4"/>
  <c r="L185" i="4"/>
  <c r="T183" i="4"/>
  <c r="L183" i="4"/>
  <c r="L181" i="4"/>
  <c r="T180" i="4"/>
  <c r="L180" i="4"/>
  <c r="T178" i="4"/>
  <c r="L179" i="4"/>
  <c r="L178" i="4"/>
  <c r="B180" i="4"/>
  <c r="B179" i="4"/>
  <c r="J178" i="4"/>
  <c r="B178" i="4"/>
  <c r="T173" i="4"/>
  <c r="L176" i="4"/>
  <c r="T175" i="4"/>
  <c r="L175" i="4"/>
  <c r="L174" i="4"/>
  <c r="L173" i="4"/>
  <c r="J173" i="4"/>
  <c r="B173" i="4"/>
  <c r="T170" i="4"/>
  <c r="L170" i="4"/>
  <c r="I170" i="4"/>
  <c r="I171" i="4"/>
  <c r="I169" i="4"/>
  <c r="L148" i="4"/>
  <c r="T165" i="4"/>
  <c r="L166" i="4"/>
  <c r="L165" i="4"/>
  <c r="L164" i="4"/>
  <c r="L163" i="4"/>
  <c r="I168" i="4"/>
  <c r="B165" i="4"/>
  <c r="L161" i="4"/>
  <c r="T160" i="4"/>
  <c r="L160" i="4"/>
  <c r="L159" i="4"/>
  <c r="T158" i="4"/>
  <c r="L158" i="4"/>
  <c r="J160" i="4"/>
  <c r="B161" i="4"/>
  <c r="B160" i="4"/>
  <c r="I158" i="4"/>
  <c r="I159" i="4"/>
  <c r="B156" i="4"/>
  <c r="I155" i="4"/>
  <c r="J155" i="4" s="1"/>
  <c r="B154" i="4"/>
  <c r="J153" i="4"/>
  <c r="B153" i="4"/>
  <c r="L153" i="4"/>
  <c r="T155" i="4"/>
  <c r="L156" i="4"/>
  <c r="L155" i="4"/>
  <c r="L154" i="4"/>
  <c r="T153" i="4"/>
  <c r="T150" i="4"/>
  <c r="L151" i="4"/>
  <c r="L150" i="4"/>
  <c r="L149" i="4"/>
  <c r="J150" i="4"/>
  <c r="J148" i="4"/>
  <c r="T145" i="4"/>
  <c r="L144" i="4"/>
  <c r="L145" i="4"/>
  <c r="T143" i="4"/>
  <c r="L143" i="4"/>
  <c r="B146" i="4"/>
  <c r="J145" i="4"/>
  <c r="J143" i="4"/>
  <c r="B144" i="4"/>
  <c r="B143" i="4"/>
  <c r="J140" i="4"/>
  <c r="B141" i="4"/>
  <c r="J138" i="4"/>
  <c r="B140" i="4"/>
  <c r="B139" i="4"/>
  <c r="B138" i="4"/>
  <c r="T140" i="4"/>
  <c r="L141" i="4"/>
  <c r="L140" i="4"/>
  <c r="L139" i="4"/>
  <c r="T138" i="4"/>
  <c r="T135" i="4"/>
  <c r="L135" i="4"/>
  <c r="L134" i="4"/>
  <c r="T133" i="4"/>
  <c r="L133" i="4"/>
  <c r="B133" i="4"/>
  <c r="I136" i="4"/>
  <c r="J135" i="4" s="1"/>
  <c r="B134" i="4"/>
  <c r="J133" i="4"/>
  <c r="L131" i="4"/>
  <c r="T128" i="4"/>
  <c r="J130" i="4"/>
  <c r="B130" i="4"/>
  <c r="I129" i="4"/>
  <c r="J125" i="4"/>
  <c r="B125" i="4"/>
  <c r="J123" i="4"/>
  <c r="B124" i="4"/>
  <c r="B120" i="4"/>
  <c r="B123" i="4"/>
  <c r="L124" i="4"/>
  <c r="T125" i="4"/>
  <c r="L126" i="4"/>
  <c r="L125" i="4"/>
  <c r="T123" i="4"/>
  <c r="L123" i="4"/>
  <c r="J120" i="4"/>
  <c r="B118" i="4"/>
  <c r="J118" i="4"/>
  <c r="B119" i="4"/>
  <c r="L118" i="4"/>
  <c r="L121" i="4"/>
  <c r="L120" i="4"/>
  <c r="T118" i="4"/>
  <c r="L119" i="4"/>
  <c r="L116" i="4"/>
  <c r="L115" i="4"/>
  <c r="L114" i="4"/>
  <c r="T113" i="4"/>
  <c r="L113" i="4"/>
  <c r="B108" i="4"/>
  <c r="J113" i="4"/>
  <c r="B114" i="4"/>
  <c r="B113" i="4"/>
  <c r="T110" i="4"/>
  <c r="L111" i="4"/>
  <c r="L110" i="4"/>
  <c r="T108" i="4"/>
  <c r="L109" i="4"/>
  <c r="L108" i="4"/>
  <c r="B110" i="4"/>
  <c r="J108" i="4"/>
  <c r="B109" i="4"/>
  <c r="J105" i="4"/>
  <c r="B106" i="4"/>
  <c r="B105" i="4"/>
  <c r="J103" i="4"/>
  <c r="B104" i="4"/>
  <c r="B103" i="4"/>
  <c r="T105" i="4"/>
  <c r="L105" i="4"/>
  <c r="T103" i="4"/>
  <c r="L104" i="4"/>
  <c r="L103" i="4"/>
  <c r="T100" i="4"/>
  <c r="T98" i="4"/>
  <c r="J95" i="4"/>
  <c r="B96" i="4"/>
  <c r="B94" i="4"/>
  <c r="J93" i="4"/>
  <c r="B95" i="4"/>
  <c r="T95" i="4"/>
  <c r="T93" i="4"/>
  <c r="L95" i="4"/>
  <c r="L94" i="4"/>
  <c r="T90" i="4"/>
  <c r="L91" i="4"/>
  <c r="L90" i="4"/>
  <c r="L89" i="4"/>
  <c r="L88" i="4"/>
  <c r="J88" i="4"/>
  <c r="L85" i="4"/>
  <c r="T85" i="4"/>
  <c r="L86" i="4"/>
  <c r="L84" i="4"/>
  <c r="T83" i="4"/>
  <c r="J85" i="4"/>
  <c r="B85" i="4"/>
  <c r="J83" i="4"/>
  <c r="B84" i="4"/>
  <c r="B83" i="4"/>
  <c r="L68" i="4"/>
  <c r="L81" i="4"/>
  <c r="T80" i="4"/>
  <c r="L79" i="4"/>
  <c r="L80" i="4"/>
  <c r="L83" i="4"/>
  <c r="T75" i="4"/>
  <c r="L76" i="4"/>
  <c r="L74" i="4"/>
  <c r="L73" i="4"/>
  <c r="T70" i="4"/>
  <c r="L71" i="4"/>
  <c r="T68" i="4"/>
  <c r="L70" i="4"/>
  <c r="L69" i="4"/>
  <c r="J70" i="4"/>
  <c r="B71" i="4"/>
  <c r="B70" i="4"/>
  <c r="J68" i="4"/>
  <c r="B68" i="4"/>
  <c r="L65" i="4"/>
  <c r="L63" i="4"/>
  <c r="L64" i="4"/>
  <c r="T63" i="4"/>
  <c r="B65" i="4"/>
  <c r="B66" i="4"/>
  <c r="J63" i="4"/>
  <c r="B64" i="4"/>
  <c r="B63" i="4"/>
  <c r="T60" i="4"/>
  <c r="L61" i="4"/>
  <c r="L60" i="4"/>
  <c r="L59" i="4"/>
  <c r="L58" i="4"/>
  <c r="B61" i="4"/>
  <c r="J60" i="4"/>
  <c r="B60" i="4"/>
  <c r="J58" i="4"/>
  <c r="B59" i="4"/>
  <c r="T55" i="4"/>
  <c r="L56" i="4"/>
  <c r="L55" i="4"/>
  <c r="L53" i="4"/>
  <c r="J53" i="4"/>
  <c r="J55" i="4"/>
  <c r="B56" i="4"/>
  <c r="B55" i="4"/>
  <c r="B54" i="4"/>
  <c r="B53" i="4"/>
  <c r="T53" i="4"/>
  <c r="L54" i="4"/>
  <c r="T50" i="4"/>
  <c r="L50" i="4"/>
  <c r="L48" i="4"/>
  <c r="T48" i="4"/>
  <c r="I51" i="4"/>
  <c r="I50" i="4"/>
  <c r="B49" i="4"/>
  <c r="J48" i="4"/>
  <c r="T45" i="4"/>
  <c r="L46" i="4"/>
  <c r="T43" i="4"/>
  <c r="L44" i="4"/>
  <c r="B43" i="4"/>
  <c r="J45" i="4"/>
  <c r="B46" i="4"/>
  <c r="B45" i="4"/>
  <c r="J43" i="4"/>
  <c r="L41" i="4"/>
  <c r="T40" i="4"/>
  <c r="L40" i="4"/>
  <c r="L39" i="4"/>
  <c r="T38" i="4"/>
  <c r="L38" i="4"/>
  <c r="B41" i="4"/>
  <c r="B40" i="4"/>
  <c r="B38" i="4"/>
  <c r="T35" i="4"/>
  <c r="B34" i="4"/>
  <c r="J35" i="4"/>
  <c r="B36" i="4"/>
  <c r="T30" i="4"/>
  <c r="L31" i="4"/>
  <c r="L30" i="4"/>
  <c r="L28" i="4"/>
  <c r="L29" i="4"/>
  <c r="T25" i="4"/>
  <c r="L26" i="4"/>
  <c r="L25" i="4"/>
  <c r="T23" i="4"/>
  <c r="L24" i="4"/>
  <c r="L23" i="4"/>
  <c r="J25" i="4"/>
  <c r="B26" i="4"/>
  <c r="B25" i="4"/>
  <c r="B24" i="4"/>
  <c r="J23" i="4"/>
  <c r="B23" i="4"/>
  <c r="T20" i="4"/>
  <c r="L20" i="4"/>
  <c r="L18" i="4"/>
  <c r="T18" i="4"/>
  <c r="L19" i="4"/>
  <c r="J18" i="4"/>
  <c r="B19" i="4"/>
  <c r="B18" i="4"/>
  <c r="T15" i="4"/>
  <c r="L15" i="4"/>
  <c r="T13" i="4"/>
  <c r="L13" i="4"/>
  <c r="J15" i="4"/>
  <c r="B15" i="4"/>
  <c r="B14" i="4"/>
  <c r="L9" i="4"/>
  <c r="B3" i="4"/>
  <c r="I1255" i="4"/>
  <c r="J1255" i="4" s="1"/>
  <c r="J1233" i="4"/>
  <c r="T1233" i="4"/>
  <c r="L1233" i="4"/>
  <c r="L1234" i="4"/>
  <c r="L1235" i="4"/>
  <c r="L1236" i="4"/>
  <c r="B1203" i="4"/>
  <c r="B1204" i="4"/>
  <c r="B1205" i="4"/>
  <c r="B1206" i="4"/>
  <c r="B1198" i="4"/>
  <c r="B1199" i="4"/>
  <c r="B1200" i="4"/>
  <c r="B1201" i="4"/>
  <c r="T1173" i="4"/>
  <c r="B1173" i="4"/>
  <c r="B1174" i="4"/>
  <c r="B1175" i="4"/>
  <c r="B1176" i="4"/>
  <c r="B1168" i="4"/>
  <c r="B1169" i="4"/>
  <c r="B1170" i="4"/>
  <c r="B1171" i="4"/>
  <c r="T1148" i="4"/>
  <c r="L1148" i="4"/>
  <c r="L1149" i="4"/>
  <c r="L1150" i="4"/>
  <c r="L1151" i="4"/>
  <c r="B1149" i="4"/>
  <c r="B1133" i="4"/>
  <c r="B1134" i="4"/>
  <c r="B1135" i="4"/>
  <c r="B1136" i="4"/>
  <c r="T1068" i="4"/>
  <c r="I1070" i="4"/>
  <c r="J1070" i="4" s="1"/>
  <c r="B1068" i="4"/>
  <c r="B1069" i="4"/>
  <c r="B1071" i="4"/>
  <c r="T1048" i="4"/>
  <c r="B1048" i="4"/>
  <c r="B1049" i="4"/>
  <c r="B1050" i="4"/>
  <c r="B1051" i="4"/>
  <c r="B1040" i="4"/>
  <c r="T1033" i="4"/>
  <c r="B1033" i="4"/>
  <c r="B1034" i="4"/>
  <c r="B1035" i="4"/>
  <c r="B1036" i="4"/>
  <c r="T1028" i="4"/>
  <c r="B1023" i="4"/>
  <c r="B1024" i="4"/>
  <c r="B1025" i="4"/>
  <c r="B1026" i="4"/>
  <c r="B1018" i="4"/>
  <c r="B1019" i="4"/>
  <c r="B1020" i="4"/>
  <c r="B1021" i="4"/>
  <c r="B988" i="4"/>
  <c r="B989" i="4"/>
  <c r="B990" i="4"/>
  <c r="B991" i="4"/>
  <c r="B973" i="4"/>
  <c r="B974" i="4"/>
  <c r="B975" i="4"/>
  <c r="B976" i="4"/>
  <c r="B953" i="4"/>
  <c r="B954" i="4"/>
  <c r="B955" i="4"/>
  <c r="B956" i="4"/>
  <c r="B918" i="4"/>
  <c r="B919" i="4"/>
  <c r="B920" i="4"/>
  <c r="B921" i="4"/>
  <c r="T903" i="4"/>
  <c r="B903" i="4"/>
  <c r="B904" i="4"/>
  <c r="B905" i="4"/>
  <c r="B906" i="4"/>
  <c r="T798" i="4"/>
  <c r="B798" i="4"/>
  <c r="B799" i="4"/>
  <c r="B800" i="4"/>
  <c r="B801" i="4"/>
  <c r="T793" i="4"/>
  <c r="B793" i="4"/>
  <c r="B794" i="4"/>
  <c r="B795" i="4"/>
  <c r="B796" i="4"/>
  <c r="T788" i="4"/>
  <c r="B788" i="4"/>
  <c r="B789" i="4"/>
  <c r="B790" i="4"/>
  <c r="B791" i="4"/>
  <c r="T773" i="4"/>
  <c r="B773" i="4"/>
  <c r="B774" i="4"/>
  <c r="B775" i="4"/>
  <c r="B776" i="4"/>
  <c r="B763" i="4"/>
  <c r="B764" i="4"/>
  <c r="B765" i="4"/>
  <c r="B766" i="4"/>
  <c r="L763" i="4"/>
  <c r="L764" i="4"/>
  <c r="L765" i="4"/>
  <c r="L766" i="4"/>
  <c r="J750" i="4"/>
  <c r="B748" i="4"/>
  <c r="B749" i="4"/>
  <c r="B750" i="4"/>
  <c r="B751" i="4"/>
  <c r="B743" i="4"/>
  <c r="B744" i="4"/>
  <c r="B745" i="4"/>
  <c r="B746" i="4"/>
  <c r="B738" i="4"/>
  <c r="B739" i="4"/>
  <c r="B740" i="4"/>
  <c r="B741" i="4"/>
  <c r="L728" i="4"/>
  <c r="L729" i="4"/>
  <c r="L730" i="4"/>
  <c r="L731" i="4"/>
  <c r="T718" i="4"/>
  <c r="B718" i="4"/>
  <c r="B719" i="4"/>
  <c r="B720" i="4"/>
  <c r="B721" i="4"/>
  <c r="B683" i="4"/>
  <c r="B684" i="4"/>
  <c r="B685" i="4"/>
  <c r="B686" i="4"/>
  <c r="T668" i="4"/>
  <c r="B668" i="4"/>
  <c r="B669" i="4"/>
  <c r="B670" i="4"/>
  <c r="B671" i="4"/>
  <c r="T663" i="4"/>
  <c r="B663" i="4"/>
  <c r="B664" i="4"/>
  <c r="B665" i="4"/>
  <c r="B666" i="4"/>
  <c r="T653" i="4"/>
  <c r="B653" i="4"/>
  <c r="B654" i="4"/>
  <c r="B655" i="4"/>
  <c r="B656" i="4"/>
  <c r="T643" i="4"/>
  <c r="B643" i="4"/>
  <c r="B644" i="4"/>
  <c r="B645" i="4"/>
  <c r="B646" i="4"/>
  <c r="T618" i="4"/>
  <c r="B618" i="4"/>
  <c r="B619" i="4"/>
  <c r="B620" i="4"/>
  <c r="B621" i="4"/>
  <c r="T608" i="4"/>
  <c r="B608" i="4"/>
  <c r="B609" i="4"/>
  <c r="B611" i="4"/>
  <c r="T603" i="4"/>
  <c r="B603" i="4"/>
  <c r="B604" i="4"/>
  <c r="B605" i="4"/>
  <c r="B606" i="4"/>
  <c r="B593" i="4"/>
  <c r="B594" i="4"/>
  <c r="B595" i="4"/>
  <c r="B596" i="4"/>
  <c r="T578" i="4"/>
  <c r="L578" i="4"/>
  <c r="L579" i="4"/>
  <c r="L580" i="4"/>
  <c r="L581" i="4"/>
  <c r="B571" i="4"/>
  <c r="T563" i="4"/>
  <c r="B563" i="4"/>
  <c r="B564" i="4"/>
  <c r="B565" i="4"/>
  <c r="B566" i="4"/>
  <c r="T558" i="4"/>
  <c r="B558" i="4"/>
  <c r="B559" i="4"/>
  <c r="B561" i="4"/>
  <c r="T543" i="4"/>
  <c r="B543" i="4"/>
  <c r="B544" i="4"/>
  <c r="B545" i="4"/>
  <c r="B546" i="4"/>
  <c r="B533" i="4"/>
  <c r="B534" i="4"/>
  <c r="B535" i="4"/>
  <c r="B536" i="4"/>
  <c r="B468" i="4"/>
  <c r="B469" i="4"/>
  <c r="B470" i="4"/>
  <c r="B471" i="4"/>
  <c r="I451" i="4"/>
  <c r="J450" i="4" s="1"/>
  <c r="B448" i="4"/>
  <c r="B449" i="4"/>
  <c r="B450" i="4"/>
  <c r="T408" i="4"/>
  <c r="B408" i="4"/>
  <c r="B409" i="4"/>
  <c r="B410" i="4"/>
  <c r="B411" i="4"/>
  <c r="B403" i="4"/>
  <c r="B404" i="4"/>
  <c r="B405" i="4"/>
  <c r="B406" i="4"/>
  <c r="B398" i="4"/>
  <c r="B399" i="4"/>
  <c r="B400" i="4"/>
  <c r="B401" i="4"/>
  <c r="B393" i="4"/>
  <c r="B394" i="4"/>
  <c r="B395" i="4"/>
  <c r="B396" i="4"/>
  <c r="I368" i="4"/>
  <c r="J368" i="4" s="1"/>
  <c r="B369" i="4"/>
  <c r="B370" i="4"/>
  <c r="B371" i="4"/>
  <c r="J358" i="4"/>
  <c r="T358" i="4"/>
  <c r="L358" i="4"/>
  <c r="L359" i="4"/>
  <c r="L360" i="4"/>
  <c r="L361" i="4"/>
  <c r="T353" i="4"/>
  <c r="B353" i="4"/>
  <c r="B354" i="4"/>
  <c r="B355" i="4"/>
  <c r="B356" i="4"/>
  <c r="T308" i="4"/>
  <c r="B308" i="4"/>
  <c r="B309" i="4"/>
  <c r="B310" i="4"/>
  <c r="B311" i="4"/>
  <c r="T293" i="4"/>
  <c r="B293" i="4"/>
  <c r="B294" i="4"/>
  <c r="B295" i="4"/>
  <c r="B296" i="4"/>
  <c r="J268" i="4"/>
  <c r="T268" i="4"/>
  <c r="L268" i="4"/>
  <c r="L269" i="4"/>
  <c r="L270" i="4"/>
  <c r="L271" i="4"/>
  <c r="T228" i="4"/>
  <c r="L231" i="4"/>
  <c r="T148" i="4"/>
  <c r="B148" i="4"/>
  <c r="B149" i="4"/>
  <c r="B150" i="4"/>
  <c r="B151" i="4"/>
  <c r="L136" i="4"/>
  <c r="I99" i="4"/>
  <c r="J98" i="4" s="1"/>
  <c r="J99" i="4" s="1"/>
  <c r="B98" i="4"/>
  <c r="B100" i="4"/>
  <c r="B101" i="4"/>
  <c r="L98" i="4"/>
  <c r="L99" i="4"/>
  <c r="L100" i="4"/>
  <c r="L101" i="4"/>
  <c r="T88" i="4"/>
  <c r="I91" i="4"/>
  <c r="J90" i="4" s="1"/>
  <c r="B88" i="4"/>
  <c r="B89" i="4"/>
  <c r="B90" i="4"/>
  <c r="T78" i="4"/>
  <c r="I78" i="4"/>
  <c r="J78" i="4" s="1"/>
  <c r="B79" i="4"/>
  <c r="B80" i="4"/>
  <c r="B81" i="4"/>
  <c r="T73" i="4"/>
  <c r="I75" i="4"/>
  <c r="J75" i="4" s="1"/>
  <c r="B73" i="4"/>
  <c r="B74" i="4"/>
  <c r="B76" i="4"/>
  <c r="T33" i="4"/>
  <c r="J33" i="4"/>
  <c r="L33" i="4"/>
  <c r="L34" i="4"/>
  <c r="L35" i="4"/>
  <c r="L36" i="4"/>
  <c r="T28" i="4"/>
  <c r="I28" i="4"/>
  <c r="J28" i="4" s="1"/>
  <c r="B29" i="4"/>
  <c r="B30" i="4"/>
  <c r="B31" i="4"/>
  <c r="I13" i="4"/>
  <c r="J13" i="4" s="1"/>
  <c r="T5" i="4"/>
  <c r="L6" i="4"/>
  <c r="L5" i="4"/>
  <c r="L4" i="4"/>
  <c r="T3" i="4"/>
  <c r="L3" i="4"/>
  <c r="T10" i="4"/>
  <c r="L10" i="4"/>
  <c r="L8" i="4"/>
  <c r="T8" i="4"/>
  <c r="L11" i="4"/>
  <c r="I10" i="4"/>
  <c r="I11" i="4"/>
  <c r="B9" i="4"/>
  <c r="J8" i="4"/>
  <c r="B8" i="4"/>
  <c r="B6" i="4"/>
  <c r="B5" i="4"/>
  <c r="B4" i="4"/>
  <c r="J5" i="4"/>
  <c r="J3" i="4"/>
  <c r="I797" i="4"/>
  <c r="I857" i="4"/>
  <c r="I877" i="4"/>
  <c r="I897" i="4"/>
  <c r="I997" i="4"/>
  <c r="I1177" i="4"/>
  <c r="I132" i="4"/>
  <c r="I327" i="4"/>
  <c r="I152" i="4"/>
  <c r="I347" i="4"/>
  <c r="I422" i="4"/>
  <c r="I852" i="4"/>
  <c r="I892" i="4"/>
  <c r="I912" i="4"/>
  <c r="I932" i="4"/>
  <c r="I952" i="4"/>
  <c r="I972" i="4"/>
  <c r="I1012" i="4"/>
  <c r="I1032" i="4"/>
  <c r="I1152" i="4"/>
  <c r="I1192" i="4"/>
  <c r="I1212" i="4"/>
  <c r="I1232" i="4"/>
  <c r="J1236" i="4" s="1"/>
  <c r="I1252" i="4"/>
  <c r="T1256" i="4" s="1"/>
  <c r="I1122" i="4"/>
  <c r="I612" i="4"/>
  <c r="I582" i="4"/>
  <c r="I1087" i="4"/>
  <c r="I1107" i="4"/>
  <c r="I202" i="4"/>
  <c r="J701" i="4"/>
  <c r="I717" i="4"/>
  <c r="I62" i="4"/>
  <c r="I112" i="4"/>
  <c r="I1072" i="4"/>
  <c r="I32" i="4"/>
  <c r="I12" i="4"/>
  <c r="I107" i="4"/>
  <c r="I207" i="4"/>
  <c r="T209" i="4" s="1"/>
  <c r="I492" i="4"/>
  <c r="I802" i="4"/>
  <c r="I1017" i="4"/>
  <c r="I52" i="4"/>
  <c r="I742" i="4"/>
  <c r="I867" i="4"/>
  <c r="I1092" i="4"/>
  <c r="I197" i="4"/>
  <c r="I687" i="4"/>
  <c r="I832" i="4"/>
  <c r="I1132" i="4"/>
  <c r="I72" i="4"/>
  <c r="I622" i="4"/>
  <c r="I762" i="4"/>
  <c r="I807" i="4"/>
  <c r="I872" i="4"/>
  <c r="I907" i="4"/>
  <c r="I967" i="4"/>
  <c r="I987" i="4"/>
  <c r="I1172" i="4"/>
  <c r="I1247" i="4"/>
  <c r="I22" i="4"/>
  <c r="I87" i="4"/>
  <c r="I277" i="4"/>
  <c r="I782" i="4"/>
  <c r="I862" i="4"/>
  <c r="I1052" i="4"/>
  <c r="I617" i="4"/>
  <c r="I772" i="4"/>
  <c r="T776" i="4" s="1"/>
  <c r="I1147" i="4"/>
  <c r="I887" i="4"/>
  <c r="I942" i="4"/>
  <c r="I1037" i="4"/>
  <c r="I1187" i="4"/>
  <c r="I1112" i="4"/>
  <c r="I1207" i="4"/>
  <c r="I42" i="4"/>
  <c r="I452" i="4"/>
  <c r="I837" i="4"/>
  <c r="I1007" i="4"/>
  <c r="I1117" i="4"/>
  <c r="I2" i="4"/>
  <c r="I117" i="4"/>
  <c r="I737" i="4"/>
  <c r="I957" i="4"/>
  <c r="I157" i="4"/>
  <c r="I37" i="4"/>
  <c r="I382" i="4"/>
  <c r="I922" i="4"/>
  <c r="I1242" i="4"/>
  <c r="I587" i="4"/>
  <c r="I672" i="4"/>
  <c r="I1077" i="4"/>
  <c r="I77" i="4"/>
  <c r="I167" i="4"/>
  <c r="I437" i="4"/>
  <c r="I627" i="4"/>
  <c r="I767" i="4"/>
  <c r="I992" i="4"/>
  <c r="I242" i="4"/>
  <c r="J246" i="4" s="1"/>
  <c r="I652" i="4"/>
  <c r="I67" i="4"/>
  <c r="I657" i="4"/>
  <c r="I47" i="4"/>
  <c r="I312" i="4"/>
  <c r="I282" i="4"/>
  <c r="I707" i="4"/>
  <c r="I162" i="4"/>
  <c r="I57" i="4"/>
  <c r="I322" i="4"/>
  <c r="I567" i="4"/>
  <c r="T571" i="4" s="1"/>
  <c r="I122" i="4"/>
  <c r="I572" i="4"/>
  <c r="I502" i="4"/>
  <c r="I577" i="4"/>
  <c r="I642" i="4"/>
  <c r="I812" i="4"/>
  <c r="I1167" i="4"/>
  <c r="I247" i="4"/>
  <c r="I667" i="4"/>
  <c r="I682" i="4"/>
  <c r="I712" i="4"/>
  <c r="I752" i="4"/>
  <c r="I777" i="4"/>
  <c r="I792" i="4"/>
  <c r="I882" i="4"/>
  <c r="J886" i="4" s="1"/>
  <c r="I1042" i="4"/>
  <c r="T1046" i="4" s="1"/>
  <c r="I1057" i="4"/>
  <c r="J1059" i="4" s="1"/>
  <c r="I1227" i="4"/>
  <c r="I187" i="4"/>
  <c r="I597" i="4"/>
  <c r="I947" i="4"/>
  <c r="I1047" i="4"/>
  <c r="I1197" i="4"/>
  <c r="I287" i="4"/>
  <c r="I827" i="4"/>
  <c r="I7" i="4"/>
  <c r="I92" i="4"/>
  <c r="I442" i="4"/>
  <c r="I817" i="4"/>
  <c r="I1137" i="4"/>
  <c r="I1202" i="4"/>
  <c r="I192" i="4"/>
  <c r="I272" i="4"/>
  <c r="I472" i="4"/>
  <c r="I692" i="4"/>
  <c r="I732" i="4"/>
  <c r="I977" i="4"/>
  <c r="I1157" i="4"/>
  <c r="I1217" i="4"/>
  <c r="I407" i="4"/>
  <c r="I237" i="4"/>
  <c r="I532" i="4"/>
  <c r="I847" i="4"/>
  <c r="I27" i="4"/>
  <c r="J31" i="4" s="1"/>
  <c r="I917" i="4"/>
  <c r="I1127" i="4"/>
  <c r="I217" i="4"/>
  <c r="I232" i="4"/>
  <c r="I352" i="4"/>
  <c r="I417" i="4"/>
  <c r="I447" i="4"/>
  <c r="I487" i="4"/>
  <c r="I527" i="4"/>
  <c r="I787" i="4"/>
  <c r="I822" i="4"/>
  <c r="I937" i="4"/>
  <c r="I1097" i="4"/>
  <c r="I1142" i="4"/>
  <c r="I1237" i="4"/>
  <c r="I317" i="4"/>
  <c r="I727" i="4"/>
  <c r="I17" i="4"/>
  <c r="I82" i="4"/>
  <c r="I102" i="4"/>
  <c r="I227" i="4"/>
  <c r="I292" i="4"/>
  <c r="I372" i="4"/>
  <c r="I412" i="4"/>
  <c r="I482" i="4"/>
  <c r="I127" i="4"/>
  <c r="I367" i="4"/>
  <c r="I542" i="4"/>
  <c r="I927" i="4"/>
  <c r="I1027" i="4"/>
  <c r="I147" i="4"/>
  <c r="I267" i="4"/>
  <c r="T271" i="4" s="1"/>
  <c r="I307" i="4"/>
  <c r="I142" i="4"/>
  <c r="I302" i="4"/>
  <c r="I262" i="4"/>
  <c r="I377" i="4"/>
  <c r="I397" i="4"/>
  <c r="I462" i="4"/>
  <c r="I537" i="4"/>
  <c r="I557" i="4"/>
  <c r="I607" i="4"/>
  <c r="I647" i="4"/>
  <c r="I177" i="4"/>
  <c r="J181" i="4" s="1"/>
  <c r="I252" i="4"/>
  <c r="I337" i="4"/>
  <c r="I432" i="4"/>
  <c r="I637" i="4"/>
  <c r="I662" i="4"/>
  <c r="I222" i="4"/>
  <c r="I357" i="4"/>
  <c r="I497" i="4"/>
  <c r="I517" i="4"/>
  <c r="I1022" i="4"/>
  <c r="I137" i="4"/>
  <c r="I212" i="4"/>
  <c r="I297" i="4"/>
  <c r="I392" i="4"/>
  <c r="I402" i="4"/>
  <c r="I552" i="4"/>
  <c r="J556" i="4" s="1"/>
  <c r="I562" i="4"/>
  <c r="I677" i="4"/>
  <c r="I747" i="4"/>
  <c r="J749" i="4" s="1"/>
  <c r="I1067" i="4"/>
  <c r="I182" i="4"/>
  <c r="I342" i="4"/>
  <c r="I457" i="4"/>
  <c r="I477" i="4"/>
  <c r="I172" i="4"/>
  <c r="I257" i="4"/>
  <c r="I332" i="4"/>
  <c r="I362" i="4"/>
  <c r="I522" i="4"/>
  <c r="I702" i="4"/>
  <c r="I387" i="4"/>
  <c r="I427" i="4"/>
  <c r="I467" i="4"/>
  <c r="I507" i="4"/>
  <c r="I547" i="4"/>
  <c r="I602" i="4"/>
  <c r="I1002" i="4"/>
  <c r="I1102" i="4"/>
  <c r="I1222" i="4"/>
  <c r="I592" i="4"/>
  <c r="I722" i="4"/>
  <c r="I757" i="4"/>
  <c r="I632" i="4"/>
  <c r="I902" i="4"/>
  <c r="I982" i="4"/>
  <c r="I1082" i="4"/>
  <c r="I962" i="4"/>
  <c r="I1182" i="4"/>
  <c r="I842" i="4"/>
  <c r="I1062" i="4"/>
  <c r="I1162" i="4"/>
  <c r="J910" i="4" l="1"/>
  <c r="J1150" i="4"/>
  <c r="J900" i="4"/>
  <c r="T1135" i="4"/>
  <c r="T1151" i="4"/>
  <c r="T1008" i="4"/>
  <c r="J880" i="4"/>
  <c r="T286" i="4"/>
  <c r="J706" i="4"/>
  <c r="J311" i="4"/>
  <c r="T586" i="4"/>
  <c r="J1053" i="4"/>
  <c r="J101" i="4"/>
  <c r="J710" i="4"/>
  <c r="J385" i="4"/>
  <c r="J805" i="4"/>
  <c r="J806" i="4" s="1"/>
  <c r="J908" i="4"/>
  <c r="J909" i="4" s="1"/>
  <c r="T99" i="4"/>
  <c r="T721" i="4"/>
  <c r="T796" i="4"/>
  <c r="T101" i="4"/>
  <c r="J1155" i="4"/>
  <c r="J256" i="4"/>
  <c r="T661" i="4"/>
  <c r="J609" i="4"/>
  <c r="T59" i="4"/>
  <c r="J559" i="4"/>
  <c r="J958" i="4"/>
  <c r="J1016" i="4"/>
  <c r="T713" i="4"/>
  <c r="T224" i="4"/>
  <c r="T791" i="4"/>
  <c r="T599" i="4"/>
  <c r="T581" i="4"/>
  <c r="J1014" i="4"/>
  <c r="T859" i="4"/>
  <c r="T1203" i="4"/>
  <c r="J1111" i="4"/>
  <c r="T810" i="4"/>
  <c r="T1164" i="4"/>
  <c r="T1153" i="4"/>
  <c r="T1154" i="4" s="1"/>
  <c r="T1058" i="4"/>
  <c r="J894" i="4"/>
  <c r="J770" i="4"/>
  <c r="J979" i="4"/>
  <c r="J128" i="4"/>
  <c r="J858" i="4"/>
  <c r="T868" i="4"/>
  <c r="T869" i="4" s="1"/>
  <c r="J833" i="4"/>
  <c r="J834" i="4" s="1"/>
  <c r="T743" i="4"/>
  <c r="T744" i="4" s="1"/>
  <c r="T331" i="4"/>
  <c r="J1195" i="4"/>
  <c r="T833" i="4"/>
  <c r="T834" i="4" s="1"/>
  <c r="T516" i="4"/>
  <c r="J516" i="4"/>
  <c r="J818" i="4"/>
  <c r="J819" i="4" s="1"/>
  <c r="J514" i="4"/>
  <c r="J941" i="4"/>
  <c r="J550" i="4"/>
  <c r="J551" i="4" s="1"/>
  <c r="T514" i="4"/>
  <c r="T500" i="4"/>
  <c r="J1041" i="4"/>
  <c r="J829" i="4"/>
  <c r="J755" i="4"/>
  <c r="J756" i="4" s="1"/>
  <c r="J835" i="4"/>
  <c r="J836" i="4" s="1"/>
  <c r="T390" i="4"/>
  <c r="T391" i="4" s="1"/>
  <c r="T1159" i="4"/>
  <c r="T6" i="4"/>
  <c r="J170" i="4"/>
  <c r="J171" i="4" s="1"/>
  <c r="J895" i="4"/>
  <c r="J896" i="4" s="1"/>
  <c r="T544" i="4"/>
  <c r="J380" i="4"/>
  <c r="J164" i="4"/>
  <c r="T698" i="4"/>
  <c r="T699" i="4" s="1"/>
  <c r="T1039" i="4"/>
  <c r="J1128" i="4"/>
  <c r="J463" i="4"/>
  <c r="J464" i="4" s="1"/>
  <c r="J41" i="4"/>
  <c r="J359" i="4"/>
  <c r="J218" i="4"/>
  <c r="J219" i="4" s="1"/>
  <c r="T1145" i="4"/>
  <c r="T1146" i="4" s="1"/>
  <c r="T1073" i="4"/>
  <c r="T1074" i="4" s="1"/>
  <c r="J679" i="4"/>
  <c r="J848" i="4"/>
  <c r="J860" i="4"/>
  <c r="J861" i="4" s="1"/>
  <c r="J984" i="4"/>
  <c r="T1120" i="4"/>
  <c r="J998" i="4"/>
  <c r="J999" i="4" s="1"/>
  <c r="J495" i="4"/>
  <c r="J496" i="4" s="1"/>
  <c r="J213" i="4"/>
  <c r="J214" i="4" s="1"/>
  <c r="T74" i="4"/>
  <c r="T569" i="4"/>
  <c r="T938" i="4"/>
  <c r="T939" i="4" s="1"/>
  <c r="T375" i="4"/>
  <c r="J933" i="4"/>
  <c r="J934" i="4" s="1"/>
  <c r="T780" i="4"/>
  <c r="J1108" i="4"/>
  <c r="J1109" i="4" s="1"/>
  <c r="J636" i="4"/>
  <c r="J1031" i="4"/>
  <c r="J1118" i="4"/>
  <c r="J993" i="4"/>
  <c r="J994" i="4" s="1"/>
  <c r="J943" i="4"/>
  <c r="J373" i="4"/>
  <c r="J923" i="4"/>
  <c r="J924" i="4" s="1"/>
  <c r="J326" i="4"/>
  <c r="T1128" i="4"/>
  <c r="T1129" i="4" s="1"/>
  <c r="J1120" i="4"/>
  <c r="J1121" i="4" s="1"/>
  <c r="T1090" i="4"/>
  <c r="J1074" i="4"/>
  <c r="J1065" i="4"/>
  <c r="J1066" i="4" s="1"/>
  <c r="J1010" i="4"/>
  <c r="J1008" i="4"/>
  <c r="J1009" i="4" s="1"/>
  <c r="T983" i="4"/>
  <c r="T984" i="4" s="1"/>
  <c r="T965" i="4"/>
  <c r="T966" i="4" s="1"/>
  <c r="J925" i="4"/>
  <c r="J926" i="4" s="1"/>
  <c r="J876" i="4"/>
  <c r="T840" i="4"/>
  <c r="T841" i="4" s="1"/>
  <c r="T838" i="4"/>
  <c r="J830" i="4"/>
  <c r="J820" i="4"/>
  <c r="J821" i="4" s="1"/>
  <c r="J803" i="4"/>
  <c r="J804" i="4" s="1"/>
  <c r="T801" i="4"/>
  <c r="J783" i="4"/>
  <c r="J784" i="4" s="1"/>
  <c r="T731" i="4"/>
  <c r="J723" i="4"/>
  <c r="J724" i="4" s="1"/>
  <c r="J684" i="4"/>
  <c r="J673" i="4"/>
  <c r="T579" i="4"/>
  <c r="T644" i="4"/>
  <c r="T176" i="4"/>
  <c r="J949" i="4"/>
  <c r="J29" i="4"/>
  <c r="J34" i="4"/>
  <c r="T309" i="4"/>
  <c r="J36" i="4"/>
  <c r="J56" i="4"/>
  <c r="T91" i="4"/>
  <c r="J109" i="4"/>
  <c r="J963" i="4"/>
  <c r="J964" i="4" s="1"/>
  <c r="T865" i="4"/>
  <c r="T866" i="4" s="1"/>
  <c r="J579" i="4"/>
  <c r="J778" i="4"/>
  <c r="J21" i="4"/>
  <c r="T294" i="4"/>
  <c r="T14" i="4"/>
  <c r="J24" i="4"/>
  <c r="T54" i="4"/>
  <c r="J54" i="4"/>
  <c r="J89" i="4"/>
  <c r="T111" i="4"/>
  <c r="J134" i="4"/>
  <c r="T134" i="4"/>
  <c r="J1093" i="4"/>
  <c r="J1094" i="4" s="1"/>
  <c r="T409" i="4"/>
  <c r="T1083" i="4"/>
  <c r="T1084" i="4" s="1"/>
  <c r="T34" i="4"/>
  <c r="T269" i="4"/>
  <c r="J971" i="4"/>
  <c r="J74" i="4"/>
  <c r="T1194" i="4"/>
  <c r="J14" i="4"/>
  <c r="T229" i="4"/>
  <c r="J269" i="4"/>
  <c r="T399" i="4"/>
  <c r="T604" i="4"/>
  <c r="T774" i="4"/>
  <c r="J1154" i="4"/>
  <c r="T24" i="4"/>
  <c r="T39" i="4"/>
  <c r="T49" i="4"/>
  <c r="T1043" i="4"/>
  <c r="T1044" i="4" s="1"/>
  <c r="J675" i="4"/>
  <c r="J676" i="4" s="1"/>
  <c r="J369" i="4"/>
  <c r="J188" i="4"/>
  <c r="J189" i="4" s="1"/>
  <c r="T1113" i="4"/>
  <c r="T1114" i="4" s="1"/>
  <c r="T1055" i="4"/>
  <c r="T1056" i="4" s="1"/>
  <c r="J520" i="4"/>
  <c r="J521" i="4" s="1"/>
  <c r="J388" i="4"/>
  <c r="J389" i="4" s="1"/>
  <c r="J383" i="4"/>
  <c r="J384" i="4" s="1"/>
  <c r="J614" i="4"/>
  <c r="J583" i="4"/>
  <c r="J584" i="4" s="1"/>
  <c r="J503" i="4"/>
  <c r="J504" i="4" s="1"/>
  <c r="T493" i="4"/>
  <c r="T485" i="4"/>
  <c r="T486" i="4" s="1"/>
  <c r="J473" i="4"/>
  <c r="J474" i="4" s="1"/>
  <c r="T455" i="4"/>
  <c r="T456" i="4" s="1"/>
  <c r="J438" i="4"/>
  <c r="J439" i="4" s="1"/>
  <c r="J435" i="4"/>
  <c r="T388" i="4"/>
  <c r="T389" i="4" s="1"/>
  <c r="J375" i="4"/>
  <c r="J365" i="4"/>
  <c r="J363" i="4"/>
  <c r="J364" i="4" s="1"/>
  <c r="J666" i="4"/>
  <c r="J664" i="4"/>
  <c r="J739" i="4"/>
  <c r="J741" i="4"/>
  <c r="J866" i="4"/>
  <c r="J864" i="4"/>
  <c r="J116" i="4"/>
  <c r="T116" i="4"/>
  <c r="T1184" i="4"/>
  <c r="J1186" i="4"/>
  <c r="T1186" i="4"/>
  <c r="T606" i="4"/>
  <c r="J606" i="4"/>
  <c r="J604" i="4"/>
  <c r="J589" i="4"/>
  <c r="J591" i="4"/>
  <c r="T589" i="4"/>
  <c r="J1021" i="4"/>
  <c r="J1019" i="4"/>
  <c r="J1179" i="4"/>
  <c r="T1179" i="4"/>
  <c r="J1181" i="4"/>
  <c r="J9" i="4"/>
  <c r="J76" i="4"/>
  <c r="T79" i="4"/>
  <c r="T354" i="4"/>
  <c r="T449" i="4"/>
  <c r="T669" i="4"/>
  <c r="J751" i="4"/>
  <c r="T789" i="4"/>
  <c r="T864" i="4"/>
  <c r="T1029" i="4"/>
  <c r="T1049" i="4"/>
  <c r="J1156" i="4"/>
  <c r="T1174" i="4"/>
  <c r="T1254" i="4"/>
  <c r="T21" i="4"/>
  <c r="J26" i="4"/>
  <c r="T26" i="4"/>
  <c r="T41" i="4"/>
  <c r="T51" i="4"/>
  <c r="T56" i="4"/>
  <c r="J71" i="4"/>
  <c r="J84" i="4"/>
  <c r="T86" i="4"/>
  <c r="J119" i="4"/>
  <c r="J124" i="4"/>
  <c r="T129" i="4"/>
  <c r="T139" i="4"/>
  <c r="J156" i="4"/>
  <c r="T181" i="4"/>
  <c r="T194" i="4"/>
  <c r="J199" i="4"/>
  <c r="T1086" i="4"/>
  <c r="T946" i="4"/>
  <c r="T1021" i="4"/>
  <c r="T149" i="4"/>
  <c r="T564" i="4"/>
  <c r="T664" i="4"/>
  <c r="T739" i="4"/>
  <c r="T1169" i="4"/>
  <c r="J64" i="4"/>
  <c r="T81" i="4"/>
  <c r="J94" i="4"/>
  <c r="T119" i="4"/>
  <c r="T126" i="4"/>
  <c r="J144" i="4"/>
  <c r="T156" i="4"/>
  <c r="T164" i="4"/>
  <c r="T171" i="4"/>
  <c r="J194" i="4"/>
  <c r="T201" i="4"/>
  <c r="T204" i="4"/>
  <c r="T1229" i="4"/>
  <c r="T996" i="4"/>
  <c r="T934" i="4"/>
  <c r="J1176" i="4"/>
  <c r="J1174" i="4"/>
  <c r="T1176" i="4"/>
  <c r="J596" i="4"/>
  <c r="J594" i="4"/>
  <c r="T576" i="4"/>
  <c r="J576" i="4"/>
  <c r="J624" i="4"/>
  <c r="J626" i="4"/>
  <c r="J899" i="4"/>
  <c r="T899" i="4"/>
  <c r="T404" i="4"/>
  <c r="T559" i="4"/>
  <c r="T594" i="4"/>
  <c r="T654" i="4"/>
  <c r="T974" i="4"/>
  <c r="J1166" i="4"/>
  <c r="J44" i="4"/>
  <c r="T44" i="4"/>
  <c r="J59" i="4"/>
  <c r="J86" i="4"/>
  <c r="J104" i="4"/>
  <c r="T114" i="4"/>
  <c r="J121" i="4"/>
  <c r="J126" i="4"/>
  <c r="J139" i="4"/>
  <c r="J146" i="4"/>
  <c r="T146" i="4"/>
  <c r="T151" i="4"/>
  <c r="J184" i="4"/>
  <c r="J191" i="4"/>
  <c r="J1161" i="4"/>
  <c r="J1064" i="4"/>
  <c r="T964" i="4"/>
  <c r="T416" i="4"/>
  <c r="J669" i="4"/>
  <c r="J671" i="4"/>
  <c r="J764" i="4"/>
  <c r="T764" i="4"/>
  <c r="J1024" i="4"/>
  <c r="J1026" i="4"/>
  <c r="T11" i="4"/>
  <c r="J1169" i="4"/>
  <c r="T1171" i="4"/>
  <c r="J1171" i="4"/>
  <c r="T66" i="4"/>
  <c r="J66" i="4"/>
  <c r="T954" i="4"/>
  <c r="T1234" i="4"/>
  <c r="T19" i="4"/>
  <c r="T36" i="4"/>
  <c r="J69" i="4"/>
  <c r="T69" i="4"/>
  <c r="T76" i="4"/>
  <c r="T84" i="4"/>
  <c r="T104" i="4"/>
  <c r="J1054" i="4"/>
  <c r="T884" i="4"/>
  <c r="J839" i="4"/>
  <c r="J914" i="4"/>
  <c r="J649" i="4"/>
  <c r="J651" i="4"/>
  <c r="T649" i="4"/>
  <c r="J509" i="4"/>
  <c r="T511" i="4"/>
  <c r="J656" i="4"/>
  <c r="T656" i="4"/>
  <c r="J654" i="4"/>
  <c r="J956" i="4"/>
  <c r="J954" i="4"/>
  <c r="T191" i="4"/>
  <c r="T189" i="4"/>
  <c r="T539" i="4"/>
  <c r="J541" i="4"/>
  <c r="T541" i="4"/>
  <c r="T546" i="4"/>
  <c r="J544" i="4"/>
  <c r="J546" i="4"/>
  <c r="T234" i="4"/>
  <c r="T236" i="4"/>
  <c r="T4" i="4"/>
  <c r="T394" i="4"/>
  <c r="T534" i="4"/>
  <c r="T549" i="4"/>
  <c r="T29" i="4"/>
  <c r="J536" i="4"/>
  <c r="J534" i="4"/>
  <c r="J744" i="4"/>
  <c r="J746" i="4"/>
  <c r="J91" i="4"/>
  <c r="T299" i="4"/>
  <c r="T301" i="4"/>
  <c r="J529" i="4"/>
  <c r="T529" i="4"/>
  <c r="J531" i="4"/>
  <c r="T1011" i="4"/>
  <c r="T1191" i="4"/>
  <c r="J1189" i="4"/>
  <c r="T9" i="4"/>
  <c r="J79" i="4"/>
  <c r="T89" i="4"/>
  <c r="T359" i="4"/>
  <c r="T369" i="4"/>
  <c r="J451" i="4"/>
  <c r="T469" i="4"/>
  <c r="T609" i="4"/>
  <c r="J1159" i="4"/>
  <c r="T1101" i="4"/>
  <c r="T629" i="4"/>
  <c r="T684" i="4"/>
  <c r="T749" i="4"/>
  <c r="T794" i="4"/>
  <c r="T844" i="4"/>
  <c r="T904" i="4"/>
  <c r="T1019" i="4"/>
  <c r="T1031" i="4"/>
  <c r="T1034" i="4"/>
  <c r="T1069" i="4"/>
  <c r="J1149" i="4"/>
  <c r="T1199" i="4"/>
  <c r="J1256" i="4"/>
  <c r="J16" i="4"/>
  <c r="T31" i="4"/>
  <c r="J39" i="4"/>
  <c r="J46" i="4"/>
  <c r="J49" i="4"/>
  <c r="T71" i="4"/>
  <c r="T96" i="4"/>
  <c r="T106" i="4"/>
  <c r="J106" i="4"/>
  <c r="T109" i="4"/>
  <c r="J114" i="4"/>
  <c r="J131" i="4"/>
  <c r="T136" i="4"/>
  <c r="T144" i="4"/>
  <c r="T166" i="4"/>
  <c r="T169" i="4"/>
  <c r="J179" i="4"/>
  <c r="T186" i="4"/>
  <c r="T199" i="4"/>
  <c r="T214" i="4"/>
  <c r="J229" i="4"/>
  <c r="T231" i="4"/>
  <c r="J241" i="4"/>
  <c r="T249" i="4"/>
  <c r="T256" i="4"/>
  <c r="J266" i="4"/>
  <c r="T296" i="4"/>
  <c r="T311" i="4"/>
  <c r="J321" i="4"/>
  <c r="T1244" i="4"/>
  <c r="J1219" i="4"/>
  <c r="J1134" i="4"/>
  <c r="T1196" i="4"/>
  <c r="J1184" i="4"/>
  <c r="T1136" i="4"/>
  <c r="T1161" i="4"/>
  <c r="T1138" i="4"/>
  <c r="T1139" i="4" s="1"/>
  <c r="T1111" i="4"/>
  <c r="J1049" i="4"/>
  <c r="J1096" i="4"/>
  <c r="J1085" i="4"/>
  <c r="J1086" i="4" s="1"/>
  <c r="T1061" i="4"/>
  <c r="T986" i="4"/>
  <c r="T924" i="4"/>
  <c r="T1123" i="4"/>
  <c r="T1124" i="4" s="1"/>
  <c r="J1114" i="4"/>
  <c r="T1096" i="4"/>
  <c r="J1001" i="4"/>
  <c r="J1143" i="4"/>
  <c r="J1144" i="4" s="1"/>
  <c r="J1125" i="4"/>
  <c r="J1126" i="4" s="1"/>
  <c r="J1100" i="4"/>
  <c r="J1101" i="4" s="1"/>
  <c r="T914" i="4"/>
  <c r="J759" i="4"/>
  <c r="T1098" i="4"/>
  <c r="T1099" i="4" s="1"/>
  <c r="J939" i="4"/>
  <c r="T901" i="4"/>
  <c r="T959" i="4"/>
  <c r="T951" i="4"/>
  <c r="T876" i="4"/>
  <c r="T915" i="4"/>
  <c r="T916" i="4" s="1"/>
  <c r="T666" i="4"/>
  <c r="J569" i="4"/>
  <c r="T751" i="4"/>
  <c r="J729" i="4"/>
  <c r="T424" i="4"/>
  <c r="T384" i="4"/>
  <c r="J709" i="4"/>
  <c r="J659" i="4"/>
  <c r="J879" i="4"/>
  <c r="T694" i="4"/>
  <c r="T626" i="4"/>
  <c r="T566" i="4"/>
  <c r="J466" i="4"/>
  <c r="J411" i="4"/>
  <c r="J396" i="4"/>
  <c r="T779" i="4"/>
  <c r="J226" i="4"/>
  <c r="J234" i="4"/>
  <c r="T241" i="4"/>
  <c r="T246" i="4"/>
  <c r="J249" i="4"/>
  <c r="T251" i="4"/>
  <c r="T259" i="4"/>
  <c r="J274" i="4"/>
  <c r="J281" i="4"/>
  <c r="J284" i="4"/>
  <c r="T284" i="4"/>
  <c r="J291" i="4"/>
  <c r="J294" i="4"/>
  <c r="T304" i="4"/>
  <c r="J304" i="4"/>
  <c r="T319" i="4"/>
  <c r="J336" i="4"/>
  <c r="J339" i="4"/>
  <c r="J349" i="4"/>
  <c r="T349" i="4"/>
  <c r="J1239" i="4"/>
  <c r="T1216" i="4"/>
  <c r="J1251" i="4"/>
  <c r="J1224" i="4"/>
  <c r="T1181" i="4"/>
  <c r="J1069" i="4"/>
  <c r="J1241" i="4"/>
  <c r="T1211" i="4"/>
  <c r="T1156" i="4"/>
  <c r="T1094" i="4"/>
  <c r="T979" i="4"/>
  <c r="J1194" i="4"/>
  <c r="T1059" i="4"/>
  <c r="T999" i="4"/>
  <c r="T1109" i="4"/>
  <c r="J921" i="4"/>
  <c r="J911" i="4"/>
  <c r="T891" i="4"/>
  <c r="T836" i="4"/>
  <c r="T729" i="4"/>
  <c r="T976" i="4"/>
  <c r="T936" i="4"/>
  <c r="T881" i="4"/>
  <c r="T911" i="4"/>
  <c r="J1229" i="4"/>
  <c r="J981" i="4"/>
  <c r="T851" i="4"/>
  <c r="J1006" i="4"/>
  <c r="J809" i="4"/>
  <c r="J699" i="4"/>
  <c r="T659" i="4"/>
  <c r="T554" i="4"/>
  <c r="J431" i="4"/>
  <c r="T746" i="4"/>
  <c r="J644" i="4"/>
  <c r="T471" i="4"/>
  <c r="T769" i="4"/>
  <c r="T714" i="4"/>
  <c r="J686" i="4"/>
  <c r="T735" i="4"/>
  <c r="T736" i="4" s="1"/>
  <c r="J489" i="4"/>
  <c r="J276" i="4"/>
  <c r="T276" i="4"/>
  <c r="T279" i="4"/>
  <c r="J296" i="4"/>
  <c r="J299" i="4"/>
  <c r="J306" i="4"/>
  <c r="J314" i="4"/>
  <c r="T314" i="4"/>
  <c r="T326" i="4"/>
  <c r="J341" i="4"/>
  <c r="T341" i="4"/>
  <c r="T344" i="4"/>
  <c r="J1211" i="4"/>
  <c r="T1249" i="4"/>
  <c r="T1221" i="4"/>
  <c r="J1206" i="4"/>
  <c r="T1236" i="4"/>
  <c r="T1121" i="4"/>
  <c r="J1106" i="4"/>
  <c r="T1089" i="4"/>
  <c r="T1066" i="4"/>
  <c r="J1044" i="4"/>
  <c r="J1079" i="4"/>
  <c r="T956" i="4"/>
  <c r="T1130" i="4"/>
  <c r="T1131" i="4" s="1"/>
  <c r="J1091" i="4"/>
  <c r="T1054" i="4"/>
  <c r="J976" i="4"/>
  <c r="J919" i="4"/>
  <c r="T921" i="4"/>
  <c r="J871" i="4"/>
  <c r="J1039" i="4"/>
  <c r="J946" i="4"/>
  <c r="T874" i="4"/>
  <c r="T896" i="4"/>
  <c r="T829" i="4"/>
  <c r="T1004" i="4"/>
  <c r="T886" i="4"/>
  <c r="T814" i="4"/>
  <c r="J789" i="4"/>
  <c r="J721" i="4"/>
  <c r="T641" i="4"/>
  <c r="T496" i="4"/>
  <c r="T474" i="4"/>
  <c r="T429" i="4"/>
  <c r="J891" i="4"/>
  <c r="J816" i="4"/>
  <c r="T786" i="4"/>
  <c r="J691" i="4"/>
  <c r="J621" i="4"/>
  <c r="T761" i="4"/>
  <c r="J734" i="4"/>
  <c r="J1011" i="4"/>
  <c r="T499" i="4"/>
  <c r="T461" i="4"/>
  <c r="T446" i="4"/>
  <c r="T356" i="4"/>
  <c r="J204" i="4"/>
  <c r="J196" i="4"/>
  <c r="J211" i="4"/>
  <c r="T221" i="4"/>
  <c r="J239" i="4"/>
  <c r="T254" i="4"/>
  <c r="J259" i="4"/>
  <c r="T261" i="4"/>
  <c r="T266" i="4"/>
  <c r="J286" i="4"/>
  <c r="J309" i="4"/>
  <c r="J319" i="4"/>
  <c r="T321" i="4"/>
  <c r="T334" i="4"/>
  <c r="J351" i="4"/>
  <c r="J1254" i="4"/>
  <c r="T1231" i="4"/>
  <c r="T1209" i="4"/>
  <c r="T1206" i="4"/>
  <c r="J1244" i="4"/>
  <c r="J1216" i="4"/>
  <c r="J1204" i="4"/>
  <c r="J1196" i="4"/>
  <c r="J1249" i="4"/>
  <c r="T1064" i="4"/>
  <c r="T1219" i="4"/>
  <c r="J1138" i="4"/>
  <c r="J1139" i="4" s="1"/>
  <c r="J1129" i="4"/>
  <c r="T1091" i="4"/>
  <c r="T1076" i="4"/>
  <c r="T1041" i="4"/>
  <c r="T949" i="4"/>
  <c r="J1029" i="4"/>
  <c r="T1239" i="4"/>
  <c r="T1105" i="4"/>
  <c r="T1106" i="4" s="1"/>
  <c r="T1081" i="4"/>
  <c r="J1036" i="4"/>
  <c r="J974" i="4"/>
  <c r="J996" i="4"/>
  <c r="T806" i="4"/>
  <c r="J1130" i="4"/>
  <c r="J1131" i="4" s="1"/>
  <c r="T944" i="4"/>
  <c r="T856" i="4"/>
  <c r="T1118" i="4"/>
  <c r="T1119" i="4" s="1"/>
  <c r="T1104" i="4"/>
  <c r="T889" i="4"/>
  <c r="J1214" i="4"/>
  <c r="J1061" i="4"/>
  <c r="T1014" i="4"/>
  <c r="J959" i="4"/>
  <c r="J936" i="4"/>
  <c r="T879" i="4"/>
  <c r="J801" i="4"/>
  <c r="J776" i="4"/>
  <c r="J719" i="4"/>
  <c r="T631" i="4"/>
  <c r="T521" i="4"/>
  <c r="J491" i="4"/>
  <c r="J461" i="4"/>
  <c r="J421" i="4"/>
  <c r="J769" i="4"/>
  <c r="T724" i="4"/>
  <c r="J619" i="4"/>
  <c r="J581" i="4"/>
  <c r="T909" i="4"/>
  <c r="J631" i="4"/>
  <c r="T681" i="4"/>
  <c r="J554" i="4"/>
  <c r="T536" i="4"/>
  <c r="T601" i="4"/>
  <c r="J129" i="4"/>
  <c r="J149" i="4"/>
  <c r="T154" i="4"/>
  <c r="J174" i="4"/>
  <c r="T174" i="4"/>
  <c r="T184" i="4"/>
  <c r="T196" i="4"/>
  <c r="J201" i="4"/>
  <c r="T206" i="4"/>
  <c r="T226" i="4"/>
  <c r="J236" i="4"/>
  <c r="J244" i="4"/>
  <c r="J251" i="4"/>
  <c r="J254" i="4"/>
  <c r="J264" i="4"/>
  <c r="J289" i="4"/>
  <c r="T306" i="4"/>
  <c r="T316" i="4"/>
  <c r="J334" i="4"/>
  <c r="T346" i="4"/>
  <c r="T1251" i="4"/>
  <c r="J1226" i="4"/>
  <c r="T1201" i="4"/>
  <c r="T1241" i="4"/>
  <c r="T1214" i="4"/>
  <c r="J1201" i="4"/>
  <c r="J1191" i="4"/>
  <c r="J1084" i="4"/>
  <c r="J1056" i="4"/>
  <c r="J1089" i="4"/>
  <c r="T1026" i="4"/>
  <c r="J991" i="4"/>
  <c r="T941" i="4"/>
  <c r="T1140" i="4"/>
  <c r="T1141" i="4" s="1"/>
  <c r="T1115" i="4"/>
  <c r="T1116" i="4" s="1"/>
  <c r="T1016" i="4"/>
  <c r="J1119" i="4"/>
  <c r="J1104" i="4"/>
  <c r="T1079" i="4"/>
  <c r="J1034" i="4"/>
  <c r="T971" i="4"/>
  <c r="T994" i="4"/>
  <c r="J969" i="4"/>
  <c r="T861" i="4"/>
  <c r="J786" i="4"/>
  <c r="J1004" i="4"/>
  <c r="J906" i="4"/>
  <c r="T849" i="4"/>
  <c r="J931" i="4"/>
  <c r="T854" i="4"/>
  <c r="J799" i="4"/>
  <c r="J774" i="4"/>
  <c r="T716" i="4"/>
  <c r="J736" i="4"/>
  <c r="T489" i="4"/>
  <c r="T459" i="4"/>
  <c r="T419" i="4"/>
  <c r="J881" i="4"/>
  <c r="J849" i="4"/>
  <c r="J824" i="4"/>
  <c r="T809" i="4"/>
  <c r="J704" i="4"/>
  <c r="T686" i="4"/>
  <c r="T616" i="4"/>
  <c r="T674" i="4"/>
  <c r="T741" i="4"/>
  <c r="T426" i="4"/>
  <c r="T619" i="4"/>
  <c r="T719" i="4"/>
  <c r="T799" i="4"/>
  <c r="T919" i="4"/>
  <c r="T1024" i="4"/>
  <c r="J1071" i="4"/>
  <c r="T1134" i="4"/>
  <c r="T1149" i="4"/>
  <c r="T1204" i="4"/>
  <c r="J1234" i="4"/>
  <c r="T16" i="4"/>
  <c r="T46" i="4"/>
  <c r="J61" i="4"/>
  <c r="T61" i="4"/>
  <c r="T64" i="4"/>
  <c r="T94" i="4"/>
  <c r="J96" i="4"/>
  <c r="T124" i="4"/>
  <c r="J136" i="4"/>
  <c r="T141" i="4"/>
  <c r="J141" i="4"/>
  <c r="J151" i="4"/>
  <c r="J154" i="4"/>
  <c r="T179" i="4"/>
  <c r="J186" i="4"/>
  <c r="J206" i="4"/>
  <c r="J209" i="4"/>
  <c r="J216" i="4"/>
  <c r="J221" i="4"/>
  <c r="J224" i="4"/>
  <c r="T239" i="4"/>
  <c r="T244" i="4"/>
  <c r="J261" i="4"/>
  <c r="T264" i="4"/>
  <c r="T274" i="4"/>
  <c r="J279" i="4"/>
  <c r="T281" i="4"/>
  <c r="T291" i="4"/>
  <c r="J301" i="4"/>
  <c r="J316" i="4"/>
  <c r="J324" i="4"/>
  <c r="T324" i="4"/>
  <c r="T336" i="4"/>
  <c r="T339" i="4"/>
  <c r="J344" i="4"/>
  <c r="J1246" i="4"/>
  <c r="T1224" i="4"/>
  <c r="J1136" i="4"/>
  <c r="J1231" i="4"/>
  <c r="J1209" i="4"/>
  <c r="J1199" i="4"/>
  <c r="T1189" i="4"/>
  <c r="J1151" i="4"/>
  <c r="J1081" i="4"/>
  <c r="J1051" i="4"/>
  <c r="T1226" i="4"/>
  <c r="J1145" i="4"/>
  <c r="J1146" i="4" s="1"/>
  <c r="J989" i="4"/>
  <c r="T1009" i="4"/>
  <c r="T1246" i="4"/>
  <c r="T1071" i="4"/>
  <c r="T1006" i="4"/>
  <c r="J1076" i="4"/>
  <c r="J986" i="4"/>
  <c r="J916" i="4"/>
  <c r="J859" i="4"/>
  <c r="T784" i="4"/>
  <c r="J1115" i="4"/>
  <c r="J1116" i="4" s="1"/>
  <c r="T981" i="4"/>
  <c r="J1221" i="4"/>
  <c r="J966" i="4"/>
  <c r="J944" i="4"/>
  <c r="T846" i="4"/>
  <c r="J796" i="4"/>
  <c r="T771" i="4"/>
  <c r="T709" i="4"/>
  <c r="T968" i="4"/>
  <c r="T969" i="4" s="1"/>
  <c r="T574" i="4"/>
  <c r="J506" i="4"/>
  <c r="J484" i="4"/>
  <c r="J454" i="4"/>
  <c r="T1051" i="4"/>
  <c r="J714" i="4"/>
  <c r="J841" i="4"/>
  <c r="T379" i="4"/>
  <c r="J731" i="4"/>
  <c r="J601" i="4"/>
  <c r="J571" i="4"/>
  <c r="T524" i="4"/>
  <c r="T501" i="4"/>
  <c r="J436" i="4"/>
  <c r="T414" i="4"/>
  <c r="J374" i="4"/>
  <c r="J519" i="4"/>
  <c r="T988" i="4"/>
  <c r="T989" i="4" s="1"/>
  <c r="T960" i="4"/>
  <c r="T961" i="4" s="1"/>
  <c r="T781" i="4"/>
  <c r="T990" i="4"/>
  <c r="T991" i="4" s="1"/>
  <c r="T824" i="4"/>
  <c r="J791" i="4"/>
  <c r="T754" i="4"/>
  <c r="J771" i="4"/>
  <c r="T671" i="4"/>
  <c r="J499" i="4"/>
  <c r="J476" i="4"/>
  <c r="T436" i="4"/>
  <c r="J1045" i="4"/>
  <c r="J1046" i="4" s="1"/>
  <c r="T839" i="4"/>
  <c r="T803" i="4"/>
  <c r="T804" i="4" s="1"/>
  <c r="T701" i="4"/>
  <c r="J646" i="4"/>
  <c r="J564" i="4"/>
  <c r="T351" i="4"/>
  <c r="T811" i="4"/>
  <c r="T639" i="4"/>
  <c r="J574" i="4"/>
  <c r="T679" i="4"/>
  <c r="T634" i="4"/>
  <c r="T386" i="4"/>
  <c r="T1036" i="4"/>
  <c r="J928" i="4"/>
  <c r="J929" i="4" s="1"/>
  <c r="J711" i="4"/>
  <c r="T691" i="4"/>
  <c r="T636" i="4"/>
  <c r="T584" i="4"/>
  <c r="T509" i="4"/>
  <c r="J416" i="4"/>
  <c r="J399" i="4"/>
  <c r="J661" i="4"/>
  <c r="J754" i="4"/>
  <c r="J629" i="4"/>
  <c r="T431" i="4"/>
  <c r="T365" i="4"/>
  <c r="T366" i="4" s="1"/>
  <c r="J111" i="4"/>
  <c r="J458" i="4"/>
  <c r="J459" i="4" s="1"/>
  <c r="J843" i="4"/>
  <c r="J844" i="4" s="1"/>
  <c r="T820" i="4"/>
  <c r="T821" i="4" s="1"/>
  <c r="T556" i="4"/>
  <c r="J456" i="4"/>
  <c r="T216" i="4"/>
  <c r="T725" i="4"/>
  <c r="T726" i="4" s="1"/>
  <c r="J434" i="4"/>
  <c r="J486" i="4"/>
  <c r="T433" i="4"/>
  <c r="T434" i="4" s="1"/>
  <c r="J346" i="4"/>
  <c r="J716" i="4"/>
  <c r="T676" i="4"/>
  <c r="T551" i="4"/>
  <c r="J856" i="4"/>
  <c r="J811" i="4"/>
  <c r="T711" i="4"/>
  <c r="J471" i="4"/>
  <c r="T411" i="4"/>
  <c r="T371" i="4"/>
  <c r="J874" i="4"/>
  <c r="J854" i="4"/>
  <c r="T819" i="4"/>
  <c r="T756" i="4"/>
  <c r="T621" i="4"/>
  <c r="T561" i="4"/>
  <c r="T451" i="4"/>
  <c r="J409" i="4"/>
  <c r="J394" i="4"/>
  <c r="T651" i="4"/>
  <c r="T289" i="4"/>
  <c r="J599" i="4"/>
  <c r="T506" i="4"/>
  <c r="J441" i="4"/>
  <c r="T376" i="4"/>
  <c r="J445" i="4"/>
  <c r="J446" i="4" s="1"/>
  <c r="J424" i="4"/>
  <c r="J390" i="4"/>
  <c r="J391" i="4" s="1"/>
  <c r="J376" i="4"/>
  <c r="J761" i="4"/>
  <c r="J561" i="4"/>
  <c r="J696" i="4"/>
  <c r="T526" i="4"/>
  <c r="T925" i="4"/>
  <c r="T926" i="4" s="1"/>
  <c r="J418" i="4"/>
  <c r="J419" i="4" s="1"/>
  <c r="T706" i="4"/>
  <c r="T894" i="4"/>
  <c r="J846" i="4"/>
  <c r="J469" i="4"/>
  <c r="T406" i="4"/>
  <c r="J356" i="4"/>
  <c r="J851" i="4"/>
  <c r="T816" i="4"/>
  <c r="T704" i="4"/>
  <c r="T614" i="4"/>
  <c r="J539" i="4"/>
  <c r="T441" i="4"/>
  <c r="J406" i="4"/>
  <c r="T381" i="4"/>
  <c r="J681" i="4"/>
  <c r="J479" i="4"/>
  <c r="J414" i="4"/>
  <c r="T211" i="4"/>
  <c r="J379" i="4"/>
  <c r="J494" i="4"/>
  <c r="T478" i="4"/>
  <c r="T479" i="4" s="1"/>
  <c r="T443" i="4"/>
  <c r="T444" i="4" s="1"/>
  <c r="T363" i="4"/>
  <c r="T364" i="4" s="1"/>
  <c r="T121" i="4"/>
  <c r="T464" i="4"/>
  <c r="T361" i="4"/>
  <c r="J781" i="4"/>
  <c r="T871" i="4"/>
  <c r="T759" i="4"/>
  <c r="T466" i="4"/>
  <c r="T401" i="4"/>
  <c r="J354" i="4"/>
  <c r="T930" i="4"/>
  <c r="T931" i="4" s="1"/>
  <c r="J901" i="4"/>
  <c r="J884" i="4"/>
  <c r="T591" i="4"/>
  <c r="T531" i="4"/>
  <c r="J404" i="4"/>
  <c r="J371" i="4"/>
  <c r="J639" i="4"/>
  <c r="J549" i="4"/>
  <c r="J814" i="4"/>
  <c r="T596" i="4"/>
  <c r="J501" i="4"/>
  <c r="T484" i="4"/>
  <c r="J231" i="4"/>
  <c r="T494" i="4"/>
  <c r="J689" i="4"/>
  <c r="J480" i="4"/>
  <c r="J481" i="4" s="1"/>
  <c r="J366" i="4"/>
  <c r="J961" i="4"/>
  <c r="T519" i="4"/>
  <c r="T491" i="4"/>
  <c r="T476" i="4"/>
  <c r="J381" i="4"/>
  <c r="J611" i="4"/>
  <c r="J779" i="4"/>
  <c r="J694" i="4"/>
  <c r="J176" i="4"/>
  <c r="J868" i="4"/>
  <c r="J869" i="4" s="1"/>
  <c r="J1140" i="4"/>
  <c r="J1141" i="4" s="1"/>
  <c r="J1123" i="4"/>
  <c r="J1124" i="4" s="1"/>
  <c r="J904" i="4"/>
  <c r="T826" i="4"/>
  <c r="T1143" i="4"/>
  <c r="T1144" i="4" s="1"/>
  <c r="T1125" i="4"/>
  <c r="T1126" i="4" s="1"/>
  <c r="J1099" i="4"/>
  <c r="J951" i="4"/>
  <c r="T929" i="4"/>
  <c r="T1001" i="4"/>
  <c r="T906" i="4"/>
  <c r="T831" i="4"/>
  <c r="J794" i="4"/>
  <c r="J766" i="4"/>
  <c r="T689" i="4"/>
  <c r="J726" i="4"/>
  <c r="T504" i="4"/>
  <c r="T481" i="4"/>
  <c r="T734" i="4"/>
  <c r="J674" i="4"/>
  <c r="T611" i="4"/>
  <c r="J566" i="4"/>
  <c r="J449" i="4"/>
  <c r="T696" i="4"/>
  <c r="J641" i="4"/>
  <c r="J889" i="4"/>
  <c r="J831" i="4"/>
  <c r="T624" i="4"/>
  <c r="T439" i="4"/>
  <c r="T396" i="4"/>
  <c r="J826" i="4"/>
  <c r="T766" i="4"/>
  <c r="T646" i="4"/>
  <c r="J585" i="4"/>
  <c r="J586" i="4" s="1"/>
  <c r="J511" i="4"/>
  <c r="J426" i="4"/>
  <c r="J401" i="4"/>
  <c r="J271" i="4"/>
  <c r="J526" i="4"/>
  <c r="J444" i="4"/>
  <c r="J428" i="4"/>
  <c r="J429" i="4" s="1"/>
  <c r="J81" i="4"/>
  <c r="J524" i="4"/>
  <c r="J386" i="4"/>
  <c r="T131" i="4"/>
  <c r="J634" i="4"/>
  <c r="J616" i="4"/>
  <c r="T454" i="4"/>
  <c r="T421" i="4"/>
  <c r="T373" i="4"/>
  <c r="T374" i="4" s="1"/>
  <c r="J361" i="4"/>
  <c r="J331" i="4"/>
  <c r="T329" i="4"/>
  <c r="J329" i="4"/>
  <c r="T218" i="4"/>
  <c r="T219" i="4" s="1"/>
  <c r="J168" i="4"/>
  <c r="J169" i="4" s="1"/>
  <c r="J166" i="4"/>
  <c r="T159" i="4"/>
  <c r="T161" i="4"/>
  <c r="J161" i="4"/>
  <c r="J158" i="4"/>
  <c r="J159" i="4" s="1"/>
  <c r="J50" i="4"/>
  <c r="J51" i="4" s="1"/>
  <c r="J19" i="4"/>
  <c r="J1164" i="4"/>
  <c r="T1166" i="4"/>
  <c r="J10" i="4"/>
  <c r="J11" i="4" s="1"/>
  <c r="J4" i="4"/>
  <c r="J6" i="4"/>
</calcChain>
</file>

<file path=xl/sharedStrings.xml><?xml version="1.0" encoding="utf-8"?>
<sst xmlns="http://schemas.openxmlformats.org/spreadsheetml/2006/main" count="2520" uniqueCount="2407">
  <si>
    <t>宝可梦名字</t>
  </si>
  <si>
    <t>原始类型</t>
  </si>
  <si>
    <t>妙蛙种子</t>
  </si>
  <si>
    <t>种子</t>
  </si>
  <si>
    <t>妙蛙草</t>
  </si>
  <si>
    <t>妙蛙花</t>
  </si>
  <si>
    <t>小火龙</t>
  </si>
  <si>
    <t>蜥蜴</t>
  </si>
  <si>
    <t>火恐龙</t>
  </si>
  <si>
    <t>火焰</t>
  </si>
  <si>
    <t>喷火龙</t>
  </si>
  <si>
    <t>杰尼龟</t>
  </si>
  <si>
    <t>小龟</t>
  </si>
  <si>
    <t>卡咪龟</t>
  </si>
  <si>
    <t>龟</t>
  </si>
  <si>
    <t>水箭龟</t>
  </si>
  <si>
    <t>甲壳</t>
  </si>
  <si>
    <t>绿毛虫</t>
  </si>
  <si>
    <t>虫宝宝</t>
  </si>
  <si>
    <t>铁甲蛹</t>
  </si>
  <si>
    <t>蛹</t>
  </si>
  <si>
    <t>巴大蝶</t>
  </si>
  <si>
    <t>蝴蝶</t>
  </si>
  <si>
    <t>独角虫</t>
  </si>
  <si>
    <t>毛毛虫</t>
  </si>
  <si>
    <t>铁壳蛹</t>
  </si>
  <si>
    <t>大针蜂</t>
  </si>
  <si>
    <t>毒蜂</t>
  </si>
  <si>
    <t>波波</t>
  </si>
  <si>
    <t>小鸟</t>
  </si>
  <si>
    <t>比比鸟</t>
  </si>
  <si>
    <t>鸟</t>
  </si>
  <si>
    <t>大比鸟</t>
  </si>
  <si>
    <t>小拉达</t>
  </si>
  <si>
    <t>鼠</t>
  </si>
  <si>
    <t>拉达</t>
  </si>
  <si>
    <t>烈雀</t>
  </si>
  <si>
    <t>大嘴雀</t>
  </si>
  <si>
    <t>鸟嘴</t>
  </si>
  <si>
    <t>阿柏蛇</t>
  </si>
  <si>
    <t>蛇</t>
  </si>
  <si>
    <t>阿柏怪</t>
  </si>
  <si>
    <t>眼镜蛇</t>
  </si>
  <si>
    <t>皮卡丘</t>
  </si>
  <si>
    <t>雷丘</t>
  </si>
  <si>
    <t>穿山鼠</t>
  </si>
  <si>
    <t>穿山王</t>
  </si>
  <si>
    <t>尼多兰</t>
  </si>
  <si>
    <t>毒针</t>
  </si>
  <si>
    <t>尼多娜</t>
  </si>
  <si>
    <t>尼多后</t>
  </si>
  <si>
    <t>钻锥</t>
  </si>
  <si>
    <t>尼多王</t>
  </si>
  <si>
    <t>皮皮</t>
  </si>
  <si>
    <t>妖精</t>
  </si>
  <si>
    <t>皮可西</t>
  </si>
  <si>
    <t>六尾</t>
  </si>
  <si>
    <t>狐狸</t>
  </si>
  <si>
    <t>九尾</t>
  </si>
  <si>
    <t>胖丁</t>
  </si>
  <si>
    <t>气球</t>
  </si>
  <si>
    <t>胖可丁</t>
  </si>
  <si>
    <t>超音蝠</t>
  </si>
  <si>
    <t>蝙蝠</t>
  </si>
  <si>
    <t>大嘴蝠</t>
  </si>
  <si>
    <t>走路草</t>
  </si>
  <si>
    <t>杂草</t>
  </si>
  <si>
    <t>臭臭花</t>
  </si>
  <si>
    <t>霸王花</t>
  </si>
  <si>
    <t>花</t>
  </si>
  <si>
    <t>派拉斯</t>
  </si>
  <si>
    <t>蘑菇</t>
  </si>
  <si>
    <t>派拉斯特</t>
  </si>
  <si>
    <t>毛球</t>
  </si>
  <si>
    <t>昆虫</t>
  </si>
  <si>
    <t>摩鲁蛾</t>
  </si>
  <si>
    <t>毒蛾</t>
  </si>
  <si>
    <t>地鼠</t>
  </si>
  <si>
    <t>鼹鼠</t>
  </si>
  <si>
    <t>三地鼠</t>
  </si>
  <si>
    <t>喵喵</t>
  </si>
  <si>
    <t>妖怪猫</t>
  </si>
  <si>
    <t>猫老大</t>
  </si>
  <si>
    <t>暹罗猫</t>
  </si>
  <si>
    <t>可达鸭</t>
  </si>
  <si>
    <t>鸭</t>
  </si>
  <si>
    <t>哥达鸭</t>
  </si>
  <si>
    <t>猴怪</t>
  </si>
  <si>
    <t>猪猴</t>
  </si>
  <si>
    <t>火暴猴</t>
  </si>
  <si>
    <t>卡蒂狗</t>
  </si>
  <si>
    <t>小狗</t>
  </si>
  <si>
    <t>风速狗</t>
  </si>
  <si>
    <t>传说</t>
  </si>
  <si>
    <t>蚊香蝌蚪</t>
  </si>
  <si>
    <t>蝌蚪</t>
  </si>
  <si>
    <t>蚊香君</t>
  </si>
  <si>
    <t>蚊香泳士</t>
  </si>
  <si>
    <t>凯西</t>
  </si>
  <si>
    <t>念力</t>
  </si>
  <si>
    <t>勇基拉</t>
  </si>
  <si>
    <t>胡地</t>
  </si>
  <si>
    <t>腕力</t>
  </si>
  <si>
    <t>怪力</t>
  </si>
  <si>
    <t>豪力</t>
  </si>
  <si>
    <t>喇叭芽</t>
  </si>
  <si>
    <t>口呆花</t>
  </si>
  <si>
    <t>捕蝇</t>
  </si>
  <si>
    <t>大食花</t>
  </si>
  <si>
    <t>玛瑙水母</t>
  </si>
  <si>
    <t>水母</t>
  </si>
  <si>
    <t>毒刺水母</t>
  </si>
  <si>
    <t>小拳石</t>
  </si>
  <si>
    <t>岩石</t>
  </si>
  <si>
    <t>隆隆石</t>
  </si>
  <si>
    <t>隆隆岩</t>
  </si>
  <si>
    <t>重量级</t>
  </si>
  <si>
    <t>小火马</t>
  </si>
  <si>
    <t>火马</t>
  </si>
  <si>
    <t>烈焰马</t>
  </si>
  <si>
    <t>呆呆兽</t>
  </si>
  <si>
    <t>憨憨</t>
  </si>
  <si>
    <t>呆壳兽</t>
  </si>
  <si>
    <t>寄居蟹</t>
  </si>
  <si>
    <t>小磁怪</t>
  </si>
  <si>
    <t>磁铁</t>
  </si>
  <si>
    <t>三合一磁怪</t>
  </si>
  <si>
    <t>大葱鸭</t>
  </si>
  <si>
    <t>黄嘴鸭</t>
  </si>
  <si>
    <t>嘟嘟</t>
  </si>
  <si>
    <t>两头鸟</t>
  </si>
  <si>
    <t>嘟嘟利</t>
  </si>
  <si>
    <t>三头鸟</t>
  </si>
  <si>
    <t>小海狮</t>
  </si>
  <si>
    <t>海狮</t>
  </si>
  <si>
    <t>白海狮</t>
  </si>
  <si>
    <t>臭泥</t>
  </si>
  <si>
    <t>污泥</t>
  </si>
  <si>
    <t>臭臭泥</t>
  </si>
  <si>
    <t>大舌贝</t>
  </si>
  <si>
    <t>双壳贝</t>
  </si>
  <si>
    <t>刺甲贝</t>
  </si>
  <si>
    <t>鬼斯</t>
  </si>
  <si>
    <t>气体状</t>
  </si>
  <si>
    <t>鬼斯通</t>
  </si>
  <si>
    <t>耿鬼</t>
  </si>
  <si>
    <t>影子</t>
  </si>
  <si>
    <t>大岩蛇</t>
  </si>
  <si>
    <t>岩蛇</t>
  </si>
  <si>
    <t>催眠貘</t>
  </si>
  <si>
    <t>催眠</t>
  </si>
  <si>
    <t>引梦貘人</t>
  </si>
  <si>
    <t>大钳蟹</t>
  </si>
  <si>
    <t>清水蟹</t>
  </si>
  <si>
    <t>巨钳蟹</t>
  </si>
  <si>
    <t>钳子</t>
  </si>
  <si>
    <t>霹雳电球</t>
  </si>
  <si>
    <t>球</t>
  </si>
  <si>
    <t>顽皮雷弹</t>
  </si>
  <si>
    <t>蛋蛋</t>
  </si>
  <si>
    <t>蛋</t>
  </si>
  <si>
    <t>椰蛋树</t>
  </si>
  <si>
    <t>椰子</t>
  </si>
  <si>
    <t>卡拉卡拉</t>
  </si>
  <si>
    <t>孤独</t>
  </si>
  <si>
    <t>嘎啦嘎啦</t>
  </si>
  <si>
    <t>爱骨</t>
  </si>
  <si>
    <t>飞腿郎</t>
  </si>
  <si>
    <t>踢腿</t>
  </si>
  <si>
    <t>快拳郎</t>
  </si>
  <si>
    <t>拳击</t>
  </si>
  <si>
    <t>大舌头</t>
  </si>
  <si>
    <t>舔舔</t>
  </si>
  <si>
    <t>瓦斯弹</t>
  </si>
  <si>
    <t>毒气</t>
  </si>
  <si>
    <t>双弹瓦斯</t>
  </si>
  <si>
    <t>独角犀牛</t>
  </si>
  <si>
    <t>尖尖</t>
  </si>
  <si>
    <t>钻角犀兽</t>
  </si>
  <si>
    <t>吉利蛋</t>
  </si>
  <si>
    <t>蔓藤怪</t>
  </si>
  <si>
    <t>藤蔓状</t>
  </si>
  <si>
    <t>袋兽</t>
  </si>
  <si>
    <t>亲子</t>
  </si>
  <si>
    <t>墨海马</t>
  </si>
  <si>
    <t>龙</t>
  </si>
  <si>
    <t>海刺龙</t>
  </si>
  <si>
    <t>角金鱼</t>
  </si>
  <si>
    <t>金鱼</t>
  </si>
  <si>
    <t>金鱼王</t>
  </si>
  <si>
    <t>海星星</t>
  </si>
  <si>
    <t>星形</t>
  </si>
  <si>
    <t>宝石海星</t>
  </si>
  <si>
    <t>谜</t>
  </si>
  <si>
    <t>魔墙人偶</t>
  </si>
  <si>
    <t>屏障</t>
  </si>
  <si>
    <t>飞天螳螂</t>
  </si>
  <si>
    <t>螳螂</t>
  </si>
  <si>
    <t>迷唇姐</t>
  </si>
  <si>
    <t>人形</t>
  </si>
  <si>
    <t>电击兽</t>
  </si>
  <si>
    <t>电击</t>
  </si>
  <si>
    <t>鸭嘴火兽</t>
  </si>
  <si>
    <t>吐火</t>
  </si>
  <si>
    <t>凯罗斯</t>
  </si>
  <si>
    <t>锹形虫</t>
  </si>
  <si>
    <t>肯泰罗</t>
  </si>
  <si>
    <t>暴牛</t>
  </si>
  <si>
    <t>鲤鱼王</t>
  </si>
  <si>
    <t>鱼</t>
  </si>
  <si>
    <t>暴鲤龙</t>
  </si>
  <si>
    <t>凶恶</t>
  </si>
  <si>
    <t>拉普拉斯</t>
  </si>
  <si>
    <t>乘载</t>
  </si>
  <si>
    <t>百变怪</t>
  </si>
  <si>
    <t>变身</t>
  </si>
  <si>
    <t>伊布</t>
  </si>
  <si>
    <t>进化</t>
  </si>
  <si>
    <t>水伊布</t>
  </si>
  <si>
    <t>吐泡</t>
  </si>
  <si>
    <t>雷伊布</t>
  </si>
  <si>
    <t>雷</t>
  </si>
  <si>
    <t>火伊布</t>
  </si>
  <si>
    <t>火</t>
  </si>
  <si>
    <t>多边兽</t>
  </si>
  <si>
    <t>虚拟</t>
  </si>
  <si>
    <t>菊石兽</t>
  </si>
  <si>
    <t>漩涡</t>
  </si>
  <si>
    <t>多刺菊石兽</t>
  </si>
  <si>
    <t>化石盔</t>
  </si>
  <si>
    <t>镰刀盔</t>
  </si>
  <si>
    <t>化石翼龙</t>
  </si>
  <si>
    <t>化石</t>
  </si>
  <si>
    <t>卡比兽</t>
  </si>
  <si>
    <t>瞌睡</t>
  </si>
  <si>
    <t>急冻鸟</t>
  </si>
  <si>
    <t>冰冻</t>
  </si>
  <si>
    <t>闪电鸟</t>
  </si>
  <si>
    <t>火焰鸟</t>
  </si>
  <si>
    <t>迷你龙</t>
  </si>
  <si>
    <t>哈克龙</t>
  </si>
  <si>
    <t>快龙</t>
  </si>
  <si>
    <t>超梦</t>
  </si>
  <si>
    <t>基因</t>
  </si>
  <si>
    <t>梦幻</t>
  </si>
  <si>
    <t>新种</t>
  </si>
  <si>
    <t>菊草叶</t>
  </si>
  <si>
    <t>叶子</t>
  </si>
  <si>
    <t>月桂叶</t>
  </si>
  <si>
    <t>大竺葵</t>
  </si>
  <si>
    <t>芳草</t>
  </si>
  <si>
    <t>火球鼠</t>
  </si>
  <si>
    <t>火鼠</t>
  </si>
  <si>
    <t>火岩鼠</t>
  </si>
  <si>
    <t>火山</t>
  </si>
  <si>
    <t>火暴兽</t>
  </si>
  <si>
    <t>小锯鳄</t>
  </si>
  <si>
    <t>大颚</t>
  </si>
  <si>
    <t>蓝鳄</t>
  </si>
  <si>
    <t>大力鳄</t>
  </si>
  <si>
    <t>尾立</t>
  </si>
  <si>
    <t>放哨</t>
  </si>
  <si>
    <t>大尾立</t>
  </si>
  <si>
    <t>长躯干</t>
  </si>
  <si>
    <t>咕咕</t>
  </si>
  <si>
    <t>猫头鹰</t>
  </si>
  <si>
    <t>猫头夜鹰</t>
  </si>
  <si>
    <t>芭瓢虫</t>
  </si>
  <si>
    <t>五星</t>
  </si>
  <si>
    <t>安瓢虫</t>
  </si>
  <si>
    <t>圆丝蛛</t>
  </si>
  <si>
    <t>吐丝</t>
  </si>
  <si>
    <t>阿利多斯</t>
  </si>
  <si>
    <t>长腿</t>
  </si>
  <si>
    <t>叉字蝠</t>
  </si>
  <si>
    <t>灯笼鱼</t>
  </si>
  <si>
    <t>琵琶鱼</t>
  </si>
  <si>
    <t>电灯怪</t>
  </si>
  <si>
    <t>灯</t>
  </si>
  <si>
    <t>皮丘</t>
  </si>
  <si>
    <t>小鼠</t>
  </si>
  <si>
    <t>皮宝宝</t>
  </si>
  <si>
    <t>宝宝丁</t>
  </si>
  <si>
    <t>波克比</t>
  </si>
  <si>
    <t>针球</t>
  </si>
  <si>
    <t>波克基古</t>
  </si>
  <si>
    <t>幸福</t>
  </si>
  <si>
    <t>天然雀</t>
  </si>
  <si>
    <t>天然鸟</t>
  </si>
  <si>
    <t>神秘</t>
  </si>
  <si>
    <t>咩利羊</t>
  </si>
  <si>
    <t>绵毛</t>
  </si>
  <si>
    <t>茸茸羊</t>
  </si>
  <si>
    <t>电龙</t>
  </si>
  <si>
    <t>美丽花</t>
  </si>
  <si>
    <t>玛力露</t>
  </si>
  <si>
    <t>水鼠</t>
  </si>
  <si>
    <t>玛力露丽</t>
  </si>
  <si>
    <t>水兔</t>
  </si>
  <si>
    <t>树才怪</t>
  </si>
  <si>
    <t>模仿</t>
  </si>
  <si>
    <t>蚊香蛙皇</t>
  </si>
  <si>
    <t>蛙</t>
  </si>
  <si>
    <t>毽子草</t>
  </si>
  <si>
    <t>棉草</t>
  </si>
  <si>
    <t>毽子花</t>
  </si>
  <si>
    <t>毽子棉</t>
  </si>
  <si>
    <t>长尾怪手</t>
  </si>
  <si>
    <t>长尾</t>
  </si>
  <si>
    <t>向日种子</t>
  </si>
  <si>
    <t>向日花怪</t>
  </si>
  <si>
    <t>太阳</t>
  </si>
  <si>
    <t>蜻蜻蜓</t>
  </si>
  <si>
    <t>薄翼</t>
  </si>
  <si>
    <t>乌波</t>
  </si>
  <si>
    <t>水鱼</t>
  </si>
  <si>
    <t>沼王</t>
  </si>
  <si>
    <t>太阳伊布</t>
  </si>
  <si>
    <t>月亮伊布</t>
  </si>
  <si>
    <t>月光</t>
  </si>
  <si>
    <t>黑暗鸦</t>
  </si>
  <si>
    <t>黑暗</t>
  </si>
  <si>
    <t>呆呆王</t>
  </si>
  <si>
    <t>王者</t>
  </si>
  <si>
    <t>梦妖</t>
  </si>
  <si>
    <t>夜啼</t>
  </si>
  <si>
    <t>未知图腾</t>
  </si>
  <si>
    <t>象征</t>
  </si>
  <si>
    <t>果然翁</t>
  </si>
  <si>
    <t>忍耐</t>
  </si>
  <si>
    <t>麒麟奇</t>
  </si>
  <si>
    <t>长颈</t>
  </si>
  <si>
    <t>榛果球</t>
  </si>
  <si>
    <t>蓑衣虫</t>
  </si>
  <si>
    <t>佛烈托斯</t>
  </si>
  <si>
    <t>土龙弟弟</t>
  </si>
  <si>
    <t>地蛇</t>
  </si>
  <si>
    <t>天蝎</t>
  </si>
  <si>
    <t>飞蝎</t>
  </si>
  <si>
    <t>大钢蛇</t>
  </si>
  <si>
    <t>铁蛇</t>
  </si>
  <si>
    <t>布鲁</t>
  </si>
  <si>
    <t>布鲁皇</t>
  </si>
  <si>
    <t>千针鱼</t>
  </si>
  <si>
    <t>巨钳螳螂</t>
  </si>
  <si>
    <t>壶壶</t>
  </si>
  <si>
    <t>发酵</t>
  </si>
  <si>
    <t>赫拉克罗斯</t>
  </si>
  <si>
    <t>独角</t>
  </si>
  <si>
    <t>狃拉</t>
  </si>
  <si>
    <t>钩爪</t>
  </si>
  <si>
    <t>熊宝宝</t>
  </si>
  <si>
    <t>小熊</t>
  </si>
  <si>
    <t>圈圈熊</t>
  </si>
  <si>
    <t>冬眠</t>
  </si>
  <si>
    <t>熔岩虫</t>
  </si>
  <si>
    <t>熔岩</t>
  </si>
  <si>
    <t>熔岩蜗牛</t>
  </si>
  <si>
    <t>小山猪</t>
  </si>
  <si>
    <t>小猪</t>
  </si>
  <si>
    <t>长毛猪</t>
  </si>
  <si>
    <t>野猪</t>
  </si>
  <si>
    <t>太阳珊瑚</t>
  </si>
  <si>
    <t>珊瑚</t>
  </si>
  <si>
    <t>铁炮鱼</t>
  </si>
  <si>
    <t>喷射</t>
  </si>
  <si>
    <t>章鱼桶</t>
  </si>
  <si>
    <t>信使鸟</t>
  </si>
  <si>
    <t>搬运</t>
  </si>
  <si>
    <t>巨翅飞鱼</t>
  </si>
  <si>
    <t>风筝</t>
  </si>
  <si>
    <t>盔甲鸟</t>
  </si>
  <si>
    <t>钢甲鸟</t>
  </si>
  <si>
    <t>戴鲁比</t>
  </si>
  <si>
    <t>阴暗</t>
  </si>
  <si>
    <t>黑鲁加</t>
  </si>
  <si>
    <t>刺龙王</t>
  </si>
  <si>
    <t>小小象</t>
  </si>
  <si>
    <t>长鼻</t>
  </si>
  <si>
    <t>顿甲</t>
  </si>
  <si>
    <t>铠甲</t>
  </si>
  <si>
    <t>惊角鹿</t>
  </si>
  <si>
    <t>大角</t>
  </si>
  <si>
    <t>图图犬</t>
  </si>
  <si>
    <t>画画</t>
  </si>
  <si>
    <t>无畏小子</t>
  </si>
  <si>
    <t>打斗</t>
  </si>
  <si>
    <t>战舞郎</t>
  </si>
  <si>
    <t>倒立</t>
  </si>
  <si>
    <t>迷唇娃</t>
  </si>
  <si>
    <t>亲吻</t>
  </si>
  <si>
    <t>电击怪</t>
  </si>
  <si>
    <t>电气</t>
  </si>
  <si>
    <t>鸭嘴宝宝</t>
  </si>
  <si>
    <t>火种</t>
  </si>
  <si>
    <t>大奶罐</t>
  </si>
  <si>
    <t>奶牛</t>
  </si>
  <si>
    <t>幸福蛋</t>
  </si>
  <si>
    <t>雷公</t>
  </si>
  <si>
    <t>天雷</t>
  </si>
  <si>
    <t>炎帝</t>
  </si>
  <si>
    <t>水君</t>
  </si>
  <si>
    <t>极光</t>
  </si>
  <si>
    <t>幼基拉斯</t>
  </si>
  <si>
    <t>岩石肤</t>
  </si>
  <si>
    <t>沙基拉斯</t>
  </si>
  <si>
    <t>子弹</t>
  </si>
  <si>
    <t>班基拉斯</t>
  </si>
  <si>
    <t>洛奇亚</t>
  </si>
  <si>
    <t>潜水</t>
  </si>
  <si>
    <t>凤王</t>
  </si>
  <si>
    <t>虹色</t>
  </si>
  <si>
    <t>时拉比</t>
  </si>
  <si>
    <t>时空穿越</t>
  </si>
  <si>
    <t>编号</t>
  </si>
  <si>
    <t>宝可梦名字
字数</t>
  </si>
  <si>
    <t>XX 宝可梦
字数</t>
  </si>
  <si>
    <t>宝可梦名字
占用 Tile</t>
  </si>
  <si>
    <t>宝可梦种类
占用 Tile</t>
  </si>
  <si>
    <t>身高体重
占用 Tile</t>
  </si>
  <si>
    <t>剩余
tile</t>
  </si>
  <si>
    <t>充满了营养。</t>
    <phoneticPr fontId="2" type="noConversion"/>
  </si>
  <si>
    <t>多边兽二型</t>
    <phoneticPr fontId="2" type="noConversion"/>
  </si>
  <si>
    <r>
      <rPr>
        <b/>
        <sz val="10"/>
        <color rgb="FF000000"/>
        <rFont val="黑体"/>
        <family val="3"/>
        <charset val="134"/>
      </rPr>
      <t>占用</t>
    </r>
    <r>
      <rPr>
        <b/>
        <sz val="10"/>
        <color indexed="8"/>
        <rFont val="黑体"/>
        <family val="3"/>
        <charset val="134"/>
      </rPr>
      <t xml:space="preserve"> 
Tile</t>
    </r>
    <phoneticPr fontId="2" type="noConversion"/>
  </si>
  <si>
    <t>从出生的时候开始，</t>
    <phoneticPr fontId="2" type="noConversion"/>
  </si>
  <si>
    <t>背上就背着一颗种子。</t>
    <phoneticPr fontId="2" type="noConversion"/>
  </si>
  <si>
    <t>每当身体长大时，</t>
    <phoneticPr fontId="2" type="noConversion"/>
  </si>
  <si>
    <t>种子也会跟着变大。</t>
    <phoneticPr fontId="2" type="noConversion"/>
  </si>
  <si>
    <t>种子会跟着身体</t>
    <phoneticPr fontId="2" type="noConversion"/>
  </si>
  <si>
    <t>一起变大。</t>
    <phoneticPr fontId="2" type="noConversion"/>
  </si>
  <si>
    <t>背上的种子里</t>
    <phoneticPr fontId="2" type="noConversion"/>
  </si>
  <si>
    <t>沐浴在阳光下越久，</t>
    <phoneticPr fontId="2" type="noConversion"/>
  </si>
  <si>
    <t>身体内会涌出越多力量，</t>
    <phoneticPr fontId="2" type="noConversion"/>
  </si>
  <si>
    <t>背上的花苞</t>
    <phoneticPr fontId="2" type="noConversion"/>
  </si>
  <si>
    <t>也会渐渐成长。</t>
    <phoneticPr fontId="2" type="noConversion"/>
  </si>
  <si>
    <t>盛开的前兆。</t>
    <phoneticPr fontId="2" type="noConversion"/>
  </si>
  <si>
    <t>背上的花苞开始</t>
    <phoneticPr fontId="2" type="noConversion"/>
  </si>
  <si>
    <t>就是大花即将</t>
    <phoneticPr fontId="2" type="noConversion"/>
  </si>
  <si>
    <t>飘出甜美的香气</t>
    <phoneticPr fontId="2" type="noConversion"/>
  </si>
  <si>
    <t>展开大片的花瓣</t>
    <phoneticPr fontId="2" type="noConversion"/>
  </si>
  <si>
    <t>沐浴阳光时，</t>
    <phoneticPr fontId="2" type="noConversion"/>
  </si>
  <si>
    <t>身体就会</t>
    <phoneticPr fontId="2" type="noConversion"/>
  </si>
  <si>
    <t>变得充满活力。</t>
    <phoneticPr fontId="2" type="noConversion"/>
  </si>
  <si>
    <t>因为能将沐浴到的</t>
    <phoneticPr fontId="2" type="noConversion"/>
  </si>
  <si>
    <t>太阳光转换成能量，</t>
    <phoneticPr fontId="2" type="noConversion"/>
  </si>
  <si>
    <t>所以在夏天</t>
    <phoneticPr fontId="2" type="noConversion"/>
  </si>
  <si>
    <t>会变得更强。</t>
    <phoneticPr fontId="2" type="noConversion"/>
  </si>
  <si>
    <t>在尾巴上燃烧的火焰</t>
    <phoneticPr fontId="2" type="noConversion"/>
  </si>
  <si>
    <t>是它生命力的象征。</t>
    <phoneticPr fontId="2" type="noConversion"/>
  </si>
  <si>
    <t>没有活力时</t>
    <phoneticPr fontId="2" type="noConversion"/>
  </si>
  <si>
    <t>火焰就会变弱。</t>
    <phoneticPr fontId="2" type="noConversion"/>
  </si>
  <si>
    <t>尾巴上的火焰</t>
    <phoneticPr fontId="2" type="noConversion"/>
  </si>
  <si>
    <t>是小火龙生命力的象征。</t>
    <phoneticPr fontId="2" type="noConversion"/>
  </si>
  <si>
    <t>如果精神不错，</t>
    <phoneticPr fontId="2" type="noConversion"/>
  </si>
  <si>
    <t>火焰就会熊熊燃烧。</t>
    <phoneticPr fontId="2" type="noConversion"/>
  </si>
  <si>
    <t>在打赢之前</t>
    <phoneticPr fontId="2" type="noConversion"/>
  </si>
  <si>
    <t>沸腾的热血都不会平息。</t>
    <phoneticPr fontId="2" type="noConversion"/>
  </si>
  <si>
    <t>一直寻找对战的对手。</t>
    <phoneticPr fontId="2" type="noConversion"/>
  </si>
  <si>
    <t>如烈火般的性格让它</t>
    <phoneticPr fontId="2" type="noConversion"/>
  </si>
  <si>
    <t>性格十分粗暴。</t>
    <phoneticPr fontId="2" type="noConversion"/>
  </si>
  <si>
    <t>当喷火龙</t>
    <phoneticPr fontId="2" type="noConversion"/>
  </si>
  <si>
    <t>真的生气时，</t>
    <phoneticPr fontId="2" type="noConversion"/>
  </si>
  <si>
    <t>燃起青白色的火焰。</t>
    <phoneticPr fontId="2" type="noConversion"/>
  </si>
  <si>
    <t>它的尾巴前端就会</t>
    <phoneticPr fontId="2" type="noConversion"/>
  </si>
  <si>
    <t>会喷出足以</t>
    <phoneticPr fontId="2" type="noConversion"/>
  </si>
  <si>
    <t>出生后过一段时间</t>
    <phoneticPr fontId="2" type="noConversion"/>
  </si>
  <si>
    <t>为了能抵挡住</t>
    <phoneticPr fontId="2" type="noConversion"/>
  </si>
  <si>
    <t>喷射水时的后坐力，</t>
    <phoneticPr fontId="2" type="noConversion"/>
  </si>
  <si>
    <t>它故意</t>
    <phoneticPr fontId="2" type="noConversion"/>
  </si>
  <si>
    <t>增加了体重。</t>
    <phoneticPr fontId="2" type="noConversion"/>
  </si>
  <si>
    <t>从龟壳上的大炮里</t>
    <phoneticPr fontId="2" type="noConversion"/>
  </si>
  <si>
    <t>放出的喷射水流</t>
    <phoneticPr fontId="2" type="noConversion"/>
  </si>
  <si>
    <t>足以贯穿</t>
    <phoneticPr fontId="2" type="noConversion"/>
  </si>
  <si>
    <t>厚实的铁板。</t>
    <phoneticPr fontId="2" type="noConversion"/>
  </si>
  <si>
    <t>会从头部的触角中</t>
    <phoneticPr fontId="2" type="noConversion"/>
  </si>
  <si>
    <t>释放出强烈的臭气，</t>
    <phoneticPr fontId="2" type="noConversion"/>
  </si>
  <si>
    <t>以此来赶走敌人</t>
    <phoneticPr fontId="2" type="noConversion"/>
  </si>
  <si>
    <t>保护自己。</t>
    <phoneticPr fontId="2" type="noConversion"/>
  </si>
  <si>
    <t>足尖是能吸附在。</t>
    <phoneticPr fontId="2" type="noConversion"/>
  </si>
  <si>
    <t>任何地方的吸盘。</t>
    <phoneticPr fontId="2" type="noConversion"/>
  </si>
  <si>
    <t>会拼命地</t>
    <phoneticPr fontId="2" type="noConversion"/>
  </si>
  <si>
    <t>爬上树去吃叶子</t>
    <phoneticPr fontId="2" type="noConversion"/>
  </si>
  <si>
    <t>只能尽量一动不动。</t>
    <phoneticPr fontId="2" type="noConversion"/>
  </si>
  <si>
    <t>拼命加固外侧的壳</t>
    <phoneticPr fontId="2" type="noConversion"/>
  </si>
  <si>
    <t>同时也是在</t>
    <phoneticPr fontId="2" type="noConversion"/>
  </si>
  <si>
    <t>保护柔软的身体。</t>
    <phoneticPr fontId="2" type="noConversion"/>
  </si>
  <si>
    <t>以做好进化的准备，</t>
    <phoneticPr fontId="2" type="noConversion"/>
  </si>
  <si>
    <t>翅膀上的鳞粉</t>
    <phoneticPr fontId="2" type="noConversion"/>
  </si>
  <si>
    <t>能弹开水滴。</t>
    <phoneticPr fontId="2" type="noConversion"/>
  </si>
  <si>
    <t>不论下着多大的雨，</t>
    <phoneticPr fontId="2" type="noConversion"/>
  </si>
  <si>
    <t>也为了采蜜飞来飞去。</t>
    <phoneticPr fontId="2" type="noConversion"/>
  </si>
  <si>
    <t>醒目的体色</t>
    <phoneticPr fontId="2" type="noConversion"/>
  </si>
  <si>
    <t>是用来警告对手的。</t>
    <phoneticPr fontId="2" type="noConversion"/>
  </si>
  <si>
    <t>毒针十分地</t>
    <phoneticPr fontId="2" type="noConversion"/>
  </si>
  <si>
    <t>厉害。</t>
    <phoneticPr fontId="2" type="noConversion"/>
  </si>
  <si>
    <t>用头顶上5厘米</t>
    <phoneticPr fontId="2" type="noConversion"/>
  </si>
  <si>
    <t>的毒针发动攻击。</t>
    <phoneticPr fontId="2" type="noConversion"/>
  </si>
  <si>
    <t>常常会出现在</t>
    <phoneticPr fontId="2" type="noConversion"/>
  </si>
  <si>
    <t>当作食物的叶子下面。</t>
    <phoneticPr fontId="2" type="noConversion"/>
  </si>
  <si>
    <t>尽管还是蛹，</t>
    <phoneticPr fontId="2" type="noConversion"/>
  </si>
  <si>
    <t>但可以稍微动一下。</t>
    <phoneticPr fontId="2" type="noConversion"/>
  </si>
  <si>
    <t>如果即将被敌人袭击，</t>
    <phoneticPr fontId="2" type="noConversion"/>
  </si>
  <si>
    <t>也会把毒针伸出来。</t>
    <phoneticPr fontId="2" type="noConversion"/>
  </si>
  <si>
    <t>外壳就会变得越硬。</t>
    <phoneticPr fontId="2" type="noConversion"/>
  </si>
  <si>
    <t>内在物越柔软，</t>
    <phoneticPr fontId="2" type="noConversion"/>
  </si>
  <si>
    <t>正在制造</t>
    <phoneticPr fontId="2" type="noConversion"/>
  </si>
  <si>
    <t>成虫的身体。</t>
    <phoneticPr fontId="2" type="noConversion"/>
  </si>
  <si>
    <t>都会用强力的毒针刺死。</t>
    <phoneticPr fontId="2" type="noConversion"/>
  </si>
  <si>
    <t>偶尔也会</t>
    <phoneticPr fontId="2" type="noConversion"/>
  </si>
  <si>
    <t>无论遇到是什么敌人，</t>
    <phoneticPr fontId="2" type="noConversion"/>
  </si>
  <si>
    <t>最强的毒。</t>
    <phoneticPr fontId="2" type="noConversion"/>
  </si>
  <si>
    <t>结群发起袭击。</t>
    <phoneticPr fontId="2" type="noConversion"/>
  </si>
  <si>
    <t>不喜欢战斗，</t>
    <phoneticPr fontId="2" type="noConversion"/>
  </si>
  <si>
    <t>一旦遭到袭击就会</t>
    <phoneticPr fontId="2" type="noConversion"/>
  </si>
  <si>
    <t>拼命泼沙来保护自己。</t>
    <phoneticPr fontId="2" type="noConversion"/>
  </si>
  <si>
    <t>平时躲在草丛中。</t>
    <phoneticPr fontId="2" type="noConversion"/>
  </si>
  <si>
    <t>大量地分布在</t>
    <phoneticPr fontId="2" type="noConversion"/>
  </si>
  <si>
    <t>草丛或森林中。</t>
    <phoneticPr fontId="2" type="noConversion"/>
  </si>
  <si>
    <t>泼洒沙子来驱赶敌人。</t>
    <phoneticPr fontId="2" type="noConversion"/>
  </si>
  <si>
    <t>性格温顺，会拍打翅膀</t>
    <phoneticPr fontId="2" type="noConversion"/>
  </si>
  <si>
    <t>视力非常好。</t>
    <phoneticPr fontId="2" type="noConversion"/>
  </si>
  <si>
    <t>不论从多高的地方</t>
    <phoneticPr fontId="2" type="noConversion"/>
  </si>
  <si>
    <t>猎物移动的身姿。</t>
    <phoneticPr fontId="2" type="noConversion"/>
  </si>
  <si>
    <t>都能看清</t>
    <phoneticPr fontId="2" type="noConversion"/>
  </si>
  <si>
    <t>然后带到</t>
    <phoneticPr fontId="2" type="noConversion"/>
  </si>
  <si>
    <t>100公里开外的巢中。</t>
    <phoneticPr fontId="2" type="noConversion"/>
  </si>
  <si>
    <t>使其无法逃跑。</t>
    <phoneticPr fontId="2" type="noConversion"/>
  </si>
  <si>
    <t>用发达的脚爪戳入猎物</t>
    <phoneticPr fontId="2" type="noConversion"/>
  </si>
  <si>
    <t>不仅能用张开的翅膀</t>
    <phoneticPr fontId="2" type="noConversion"/>
  </si>
  <si>
    <t>来威吓敌人，</t>
    <phoneticPr fontId="2" type="noConversion"/>
  </si>
  <si>
    <t>2马赫的速度飞翔。</t>
    <phoneticPr fontId="2" type="noConversion"/>
  </si>
  <si>
    <t>还能以</t>
    <phoneticPr fontId="2" type="noConversion"/>
  </si>
  <si>
    <t>只要是有食物的地方，</t>
    <phoneticPr fontId="2" type="noConversion"/>
  </si>
  <si>
    <t>因为不论什么东西都吃，</t>
    <phoneticPr fontId="2" type="noConversion"/>
  </si>
  <si>
    <t>并不断地生孩子。</t>
    <phoneticPr fontId="2" type="noConversion"/>
  </si>
  <si>
    <t>一旦有东西能当食物</t>
    <phoneticPr fontId="2" type="noConversion"/>
  </si>
  <si>
    <t>就会定居在那个地方，</t>
    <phoneticPr fontId="2" type="noConversion"/>
  </si>
  <si>
    <t>坚硬的牙齿</t>
    <phoneticPr fontId="2" type="noConversion"/>
  </si>
  <si>
    <t>就连用水泥建成的</t>
    <phoneticPr fontId="2" type="noConversion"/>
  </si>
  <si>
    <t>大楼也能啃塌。</t>
    <phoneticPr fontId="2" type="noConversion"/>
  </si>
  <si>
    <t>因为牙齿会不断变长，</t>
    <phoneticPr fontId="2" type="noConversion"/>
  </si>
  <si>
    <t>所以会啃咬</t>
    <phoneticPr fontId="2" type="noConversion"/>
  </si>
  <si>
    <t>能啃咬任何东西。</t>
    <phoneticPr fontId="2" type="noConversion"/>
  </si>
  <si>
    <t>它用胡须来保持平衡。</t>
    <phoneticPr fontId="2" type="noConversion"/>
  </si>
  <si>
    <t>各种东西来磨牙。</t>
    <phoneticPr fontId="2" type="noConversion"/>
  </si>
  <si>
    <t>忙碌地飞来飞去。</t>
    <phoneticPr fontId="2" type="noConversion"/>
  </si>
  <si>
    <t>会拍打着短短的翅膀，</t>
    <phoneticPr fontId="2" type="noConversion"/>
  </si>
  <si>
    <t>为了保护</t>
    <phoneticPr fontId="2" type="noConversion"/>
  </si>
  <si>
    <t>自己的领地，</t>
    <phoneticPr fontId="2" type="noConversion"/>
  </si>
  <si>
    <t>会拍打短短的翅膀</t>
    <phoneticPr fontId="2" type="noConversion"/>
  </si>
  <si>
    <t>将草丛中的虫子赶出来，</t>
    <phoneticPr fontId="2" type="noConversion"/>
  </si>
  <si>
    <t>鸟嘴啄食。</t>
    <phoneticPr fontId="2" type="noConversion"/>
  </si>
  <si>
    <t>再用短短的</t>
    <phoneticPr fontId="2" type="noConversion"/>
  </si>
  <si>
    <t>壳内的部分正在</t>
    <phoneticPr fontId="2" type="noConversion"/>
  </si>
  <si>
    <t>准备进化，十分柔软</t>
    <phoneticPr fontId="2" type="noConversion"/>
  </si>
  <si>
    <t>而且难以保持稳定形状，</t>
    <phoneticPr fontId="2" type="noConversion"/>
  </si>
  <si>
    <t>会一口气</t>
    <phoneticPr fontId="2" type="noConversion"/>
  </si>
  <si>
    <t>飞舞到高空中，</t>
    <phoneticPr fontId="2" type="noConversion"/>
  </si>
  <si>
    <t>发起突然袭击。</t>
    <phoneticPr fontId="2" type="noConversion"/>
  </si>
  <si>
    <t>再从空中急速飞下</t>
    <phoneticPr fontId="2" type="noConversion"/>
  </si>
  <si>
    <t>会熟练地使用</t>
    <phoneticPr fontId="2" type="noConversion"/>
  </si>
  <si>
    <t>细长的鸟嘴</t>
    <phoneticPr fontId="2" type="noConversion"/>
  </si>
  <si>
    <t>叼出地面之下的虫子</t>
    <phoneticPr fontId="2" type="noConversion"/>
  </si>
  <si>
    <t>将其吃掉。</t>
    <phoneticPr fontId="2" type="noConversion"/>
  </si>
  <si>
    <t>能自由地</t>
    <phoneticPr fontId="2" type="noConversion"/>
  </si>
  <si>
    <t>让颚部脱臼，</t>
    <phoneticPr fontId="2" type="noConversion"/>
  </si>
  <si>
    <t>因此很大的猎物也能吞下，</t>
    <phoneticPr fontId="2" type="noConversion"/>
  </si>
  <si>
    <t>但会因为变重而无法动弹。</t>
    <phoneticPr fontId="2" type="noConversion"/>
  </si>
  <si>
    <t>总是藏在草丛中。</t>
    <phoneticPr fontId="2" type="noConversion"/>
  </si>
  <si>
    <t>因为刚出生时还不带毒，</t>
    <phoneticPr fontId="2" type="noConversion"/>
  </si>
  <si>
    <t>即使被它咬到</t>
    <phoneticPr fontId="2" type="noConversion"/>
  </si>
  <si>
    <t>也只会感到疼痛。</t>
    <phoneticPr fontId="2" type="noConversion"/>
  </si>
  <si>
    <t>就会穷追不舍。</t>
    <phoneticPr fontId="2" type="noConversion"/>
  </si>
  <si>
    <t>一旦</t>
    <phoneticPr fontId="2" type="noConversion"/>
  </si>
  <si>
    <t>向其释放毒液。</t>
    <phoneticPr fontId="2" type="noConversion"/>
  </si>
  <si>
    <t>一样的腹部花纹，</t>
    <phoneticPr fontId="2" type="noConversion"/>
  </si>
  <si>
    <t>展示像可怕的脸</t>
    <phoneticPr fontId="2" type="noConversion"/>
  </si>
  <si>
    <t>竖起尾巴</t>
    <phoneticPr fontId="2" type="noConversion"/>
  </si>
  <si>
    <t>探察周围的情况时，</t>
    <phoneticPr fontId="2" type="noConversion"/>
  </si>
  <si>
    <t>偶尔会有雷电</t>
    <phoneticPr fontId="2" type="noConversion"/>
  </si>
  <si>
    <t>落到它的尾巴上。</t>
    <phoneticPr fontId="2" type="noConversion"/>
  </si>
  <si>
    <t>再勒紧惊恐的猎物</t>
    <phoneticPr fontId="2" type="noConversion"/>
  </si>
  <si>
    <t>能用电力把树果</t>
    <phoneticPr fontId="2" type="noConversion"/>
  </si>
  <si>
    <t>烤软后吃掉。</t>
    <phoneticPr fontId="2" type="noConversion"/>
  </si>
  <si>
    <t>拥有</t>
    <phoneticPr fontId="2" type="noConversion"/>
  </si>
  <si>
    <t>恰到好处的智力，</t>
    <phoneticPr fontId="2" type="noConversion"/>
  </si>
  <si>
    <t>如果储存的电力过多，</t>
    <phoneticPr fontId="2" type="noConversion"/>
  </si>
  <si>
    <t>肌肉就会受到刺激，</t>
    <phoneticPr fontId="2" type="noConversion"/>
  </si>
  <si>
    <t>它也会变得比平时</t>
    <phoneticPr fontId="2" type="noConversion"/>
  </si>
  <si>
    <t>更具攻击性。</t>
    <phoneticPr fontId="2" type="noConversion"/>
  </si>
  <si>
    <t>如果脸颊上的电囊</t>
    <phoneticPr fontId="2" type="noConversion"/>
  </si>
  <si>
    <t>储存的电力达到最大时，</t>
    <phoneticPr fontId="2" type="noConversion"/>
  </si>
  <si>
    <t>两支耳朵就会</t>
    <phoneticPr fontId="2" type="noConversion"/>
  </si>
  <si>
    <t>直直地竖起。</t>
    <phoneticPr fontId="2" type="noConversion"/>
  </si>
  <si>
    <t>无论从多高的地方</t>
    <phoneticPr fontId="2" type="noConversion"/>
  </si>
  <si>
    <t>掉下来，</t>
    <phoneticPr fontId="2" type="noConversion"/>
  </si>
  <si>
    <t>只要将身体蜷成一团</t>
    <phoneticPr fontId="2" type="noConversion"/>
  </si>
  <si>
    <t>便能反弹起来得救。</t>
    <phoneticPr fontId="2" type="noConversion"/>
  </si>
  <si>
    <t>讨厌水，会在干燥的地方</t>
    <phoneticPr fontId="2" type="noConversion"/>
  </si>
  <si>
    <t>挖掘一个深洞生活。</t>
    <phoneticPr fontId="2" type="noConversion"/>
  </si>
  <si>
    <t>能瞬间将身体</t>
    <phoneticPr fontId="2" type="noConversion"/>
  </si>
  <si>
    <t>蜷成一团。</t>
    <phoneticPr fontId="2" type="noConversion"/>
  </si>
  <si>
    <t>如果以惊人的气势</t>
    <phoneticPr fontId="2" type="noConversion"/>
  </si>
  <si>
    <t>挖掘地面，</t>
    <phoneticPr fontId="2" type="noConversion"/>
  </si>
  <si>
    <t>尖刺和爪子就会折断，</t>
    <phoneticPr fontId="2" type="noConversion"/>
  </si>
  <si>
    <t>不过第二天就会长好。</t>
    <phoneticPr fontId="2" type="noConversion"/>
  </si>
  <si>
    <t>会用最大的速度</t>
    <phoneticPr fontId="2" type="noConversion"/>
  </si>
  <si>
    <t>其威力非常惊人。</t>
    <phoneticPr fontId="2" type="noConversion"/>
  </si>
  <si>
    <t>即使造成极小的伤</t>
    <phoneticPr fontId="2" type="noConversion"/>
  </si>
  <si>
    <t>也会致命。</t>
    <phoneticPr fontId="2" type="noConversion"/>
  </si>
  <si>
    <t>虽然不太喜欢战斗，</t>
    <phoneticPr fontId="2" type="noConversion"/>
  </si>
  <si>
    <t>但是到了危急关头</t>
    <phoneticPr fontId="2" type="noConversion"/>
  </si>
  <si>
    <r>
      <t>来折磨</t>
    </r>
    <r>
      <rPr>
        <sz val="10"/>
        <color rgb="FF000000"/>
        <rFont val="宋体"/>
        <family val="3"/>
        <charset val="134"/>
      </rPr>
      <t>对手。</t>
    </r>
    <phoneticPr fontId="2" type="noConversion"/>
  </si>
  <si>
    <t>小犄角内含有毒液，</t>
    <phoneticPr fontId="2" type="noConversion"/>
  </si>
  <si>
    <t>会用角中的毒液</t>
    <phoneticPr fontId="2" type="noConversion"/>
  </si>
  <si>
    <t>再吐出来喂给它们吃。</t>
    <phoneticPr fontId="2" type="noConversion"/>
  </si>
  <si>
    <t>因为角长得很慢，</t>
    <phoneticPr fontId="2" type="noConversion"/>
  </si>
  <si>
    <t>所以不是非常</t>
    <phoneticPr fontId="2" type="noConversion"/>
  </si>
  <si>
    <t>保护幼崽</t>
    <phoneticPr fontId="2" type="noConversion"/>
  </si>
  <si>
    <t>不被敌人攻击。</t>
    <phoneticPr fontId="2" type="noConversion"/>
  </si>
  <si>
    <t>堵住巢穴的入口，</t>
    <phoneticPr fontId="2" type="noConversion"/>
  </si>
  <si>
    <t>会用长满鳞片的强壮身体</t>
    <phoneticPr fontId="2" type="noConversion"/>
  </si>
  <si>
    <t>全身覆盖着</t>
    <phoneticPr fontId="2" type="noConversion"/>
  </si>
  <si>
    <t>针一样的鳞片。</t>
    <phoneticPr fontId="2" type="noConversion"/>
  </si>
  <si>
    <t>不论遇见什么攻击，</t>
    <phoneticPr fontId="2" type="noConversion"/>
  </si>
  <si>
    <t>都不会露出胆怯的样子。</t>
    <phoneticPr fontId="2" type="noConversion"/>
  </si>
  <si>
    <t>身材虽小</t>
    <phoneticPr fontId="2" type="noConversion"/>
  </si>
  <si>
    <t>角内却充满了毒液。</t>
    <phoneticPr fontId="2" type="noConversion"/>
  </si>
  <si>
    <t>伸出角注射毒液。</t>
    <phoneticPr fontId="2" type="noConversion"/>
  </si>
  <si>
    <t>会竖起大耳朵</t>
    <phoneticPr fontId="2" type="noConversion"/>
  </si>
  <si>
    <t>来感知周围，</t>
    <phoneticPr fontId="2" type="noConversion"/>
  </si>
  <si>
    <t>一旦有危险接近</t>
    <phoneticPr fontId="2" type="noConversion"/>
  </si>
  <si>
    <t>就会抢先发起攻击。</t>
    <phoneticPr fontId="2" type="noConversion"/>
  </si>
  <si>
    <t>尼多朗</t>
    <phoneticPr fontId="2" type="noConversion"/>
  </si>
  <si>
    <t>尼多力诺</t>
    <phoneticPr fontId="2" type="noConversion"/>
  </si>
  <si>
    <t>会竖起发达的耳朵</t>
    <phoneticPr fontId="2" type="noConversion"/>
  </si>
  <si>
    <t>探察周围的情况。</t>
    <phoneticPr fontId="2" type="noConversion"/>
  </si>
  <si>
    <t>一旦发现什么</t>
    <phoneticPr fontId="2" type="noConversion"/>
  </si>
  <si>
    <t>就会立刻扑过去。</t>
    <phoneticPr fontId="2" type="noConversion"/>
  </si>
  <si>
    <t>性格易怒，</t>
    <phoneticPr fontId="2" type="noConversion"/>
  </si>
  <si>
    <t>一旦兴奋起来</t>
    <phoneticPr fontId="2" type="noConversion"/>
  </si>
  <si>
    <t>就会用爪子刺过去</t>
    <phoneticPr fontId="2" type="noConversion"/>
  </si>
  <si>
    <t>然后流出剧毒。</t>
    <phoneticPr fontId="2" type="noConversion"/>
  </si>
  <si>
    <t>性格敦厚而温和。</t>
    <phoneticPr fontId="2" type="noConversion"/>
  </si>
  <si>
    <t>会用全身飞扑过去，</t>
    <phoneticPr fontId="2" type="noConversion"/>
  </si>
  <si>
    <t>挥舞大尾巴之后，</t>
    <phoneticPr fontId="2" type="noConversion"/>
  </si>
  <si>
    <t>一旦对手胆怯，</t>
    <phoneticPr fontId="2" type="noConversion"/>
  </si>
  <si>
    <t>扑过去。</t>
    <phoneticPr fontId="2" type="noConversion"/>
  </si>
  <si>
    <t>就会用结实的身体</t>
    <phoneticPr fontId="2" type="noConversion"/>
  </si>
  <si>
    <t>用充满力量的粗尾巴</t>
    <phoneticPr fontId="2" type="noConversion"/>
  </si>
  <si>
    <t>勒紧对手后，</t>
    <phoneticPr fontId="2" type="noConversion"/>
  </si>
  <si>
    <t>能轻松地折弯</t>
    <phoneticPr fontId="2" type="noConversion"/>
  </si>
  <si>
    <t>对手的脊梁骨。</t>
    <phoneticPr fontId="2" type="noConversion"/>
  </si>
  <si>
    <t>它好像</t>
    <phoneticPr fontId="2" type="noConversion"/>
  </si>
  <si>
    <t>能通过将月光</t>
    <phoneticPr fontId="2" type="noConversion"/>
  </si>
  <si>
    <t>聚集在后背的翅膀上</t>
    <phoneticPr fontId="2" type="noConversion"/>
  </si>
  <si>
    <t>来浮在空中。</t>
    <phoneticPr fontId="2" type="noConversion"/>
  </si>
  <si>
    <t>因可爱的举止和叫声</t>
    <phoneticPr fontId="2" type="noConversion"/>
  </si>
  <si>
    <t>而广受欢迎的宝可梦。</t>
    <phoneticPr fontId="2" type="noConversion"/>
  </si>
  <si>
    <t>很少被人发现。</t>
    <phoneticPr fontId="2" type="noConversion"/>
  </si>
  <si>
    <t>不过</t>
    <phoneticPr fontId="2" type="noConversion"/>
  </si>
  <si>
    <t>不论多远的声音</t>
    <phoneticPr fontId="2" type="noConversion"/>
  </si>
  <si>
    <t>都能用听觉辨别，</t>
    <phoneticPr fontId="2" type="noConversion"/>
  </si>
  <si>
    <t>因此平时会</t>
    <phoneticPr fontId="2" type="noConversion"/>
  </si>
  <si>
    <t>藏在安静的地方。</t>
    <phoneticPr fontId="2" type="noConversion"/>
  </si>
  <si>
    <t>遭到比自己强大</t>
    <phoneticPr fontId="2" type="noConversion"/>
  </si>
  <si>
    <t>的对手袭击时，</t>
    <phoneticPr fontId="2" type="noConversion"/>
  </si>
  <si>
    <t>会假装受伤来迷惑对手，</t>
    <phoneticPr fontId="2" type="noConversion"/>
  </si>
  <si>
    <t>再趁机逃走。</t>
    <phoneticPr fontId="2" type="noConversion"/>
  </si>
  <si>
    <t>白色的尾巴长大后</t>
    <phoneticPr fontId="2" type="noConversion"/>
  </si>
  <si>
    <t>紧紧抱着它时</t>
    <phoneticPr fontId="2" type="noConversion"/>
  </si>
  <si>
    <t>能感到微微的温暖。</t>
    <phoneticPr fontId="2" type="noConversion"/>
  </si>
  <si>
    <t>据传它的</t>
    <phoneticPr fontId="2" type="noConversion"/>
  </si>
  <si>
    <t>９条尾巴里</t>
    <phoneticPr fontId="2" type="noConversion"/>
  </si>
  <si>
    <t>各蕴藏着不同的</t>
    <phoneticPr fontId="2" type="noConversion"/>
  </si>
  <si>
    <t>神秘力量。</t>
    <phoneticPr fontId="2" type="noConversion"/>
  </si>
  <si>
    <t>９条美丽的尾巴内</t>
    <phoneticPr fontId="2" type="noConversion"/>
  </si>
  <si>
    <t>充满了足以让它</t>
    <phoneticPr fontId="2" type="noConversion"/>
  </si>
  <si>
    <t>活上１０００年的</t>
    <phoneticPr fontId="2" type="noConversion"/>
  </si>
  <si>
    <t>神奇能量。</t>
    <phoneticPr fontId="2" type="noConversion"/>
  </si>
  <si>
    <t>当２只胖可丁</t>
    <phoneticPr fontId="2" type="noConversion"/>
  </si>
  <si>
    <t>依偎在一起时，</t>
    <phoneticPr fontId="2" type="noConversion"/>
  </si>
  <si>
    <t>它们便会因对方的毛皮</t>
    <phoneticPr fontId="2" type="noConversion"/>
  </si>
  <si>
    <t>太过舒适而难以分开。</t>
    <phoneticPr fontId="2" type="noConversion"/>
  </si>
  <si>
    <t>拥有细腻的毛皮。</t>
    <phoneticPr fontId="2" type="noConversion"/>
  </si>
  <si>
    <t>注意别惹它生气，</t>
    <phoneticPr fontId="2" type="noConversion"/>
  </si>
  <si>
    <t>否则它会不断膨胀</t>
    <phoneticPr fontId="2" type="noConversion"/>
  </si>
  <si>
    <t>并向你压过来。</t>
    <phoneticPr fontId="2" type="noConversion"/>
  </si>
  <si>
    <t>在黑暗的地方</t>
    <phoneticPr fontId="2" type="noConversion"/>
  </si>
  <si>
    <t>也能飞来飞去，</t>
    <phoneticPr fontId="2" type="noConversion"/>
  </si>
  <si>
    <t>这是因为它会发出超音波</t>
    <phoneticPr fontId="2" type="noConversion"/>
  </si>
  <si>
    <t>来探索周围的状况。</t>
    <phoneticPr fontId="2" type="noConversion"/>
  </si>
  <si>
    <t>不论多坚硬的皮肤，</t>
    <phoneticPr fontId="2" type="noConversion"/>
  </si>
  <si>
    <t>都会用尖锐的牙齿扎穿，</t>
    <phoneticPr fontId="2" type="noConversion"/>
  </si>
  <si>
    <t>再使劲地吸取</t>
    <phoneticPr fontId="2" type="noConversion"/>
  </si>
  <si>
    <t>足量的血。</t>
    <phoneticPr fontId="2" type="noConversion"/>
  </si>
  <si>
    <t>虽然能吸３００毫升的血，</t>
    <phoneticPr fontId="2" type="noConversion"/>
  </si>
  <si>
    <t>但如果一次吸太多，</t>
    <phoneticPr fontId="2" type="noConversion"/>
  </si>
  <si>
    <t>身体就会变重</t>
    <phoneticPr fontId="2" type="noConversion"/>
  </si>
  <si>
    <t>并开始摇晃。</t>
    <phoneticPr fontId="2" type="noConversion"/>
  </si>
  <si>
    <t>沐浴月光醒来后，</t>
    <phoneticPr fontId="2" type="noConversion"/>
  </si>
  <si>
    <t>会到处走动，</t>
    <phoneticPr fontId="2" type="noConversion"/>
  </si>
  <si>
    <t>白天则一动不动</t>
    <phoneticPr fontId="2" type="noConversion"/>
  </si>
  <si>
    <t>待在地里。</t>
    <phoneticPr fontId="2" type="noConversion"/>
  </si>
  <si>
    <t>为了四处散播种子</t>
    <phoneticPr fontId="2" type="noConversion"/>
  </si>
  <si>
    <t>会在夜晚到处走动。</t>
    <phoneticPr fontId="2" type="noConversion"/>
  </si>
  <si>
    <t>沐浴月光</t>
    <phoneticPr fontId="2" type="noConversion"/>
  </si>
  <si>
    <t>就会开始活动。</t>
    <phoneticPr fontId="2" type="noConversion"/>
  </si>
  <si>
    <t>看似口水的东西</t>
    <phoneticPr fontId="2" type="noConversion"/>
  </si>
  <si>
    <t>其实是甜甜的蜜。</t>
    <phoneticPr fontId="2" type="noConversion"/>
  </si>
  <si>
    <t>非常黏稠，</t>
    <phoneticPr fontId="2" type="noConversion"/>
  </si>
  <si>
    <t>只要碰到就会一直黏住。</t>
    <phoneticPr fontId="2" type="noConversion"/>
  </si>
  <si>
    <t>黏稠如口水的蜜</t>
    <phoneticPr fontId="2" type="noConversion"/>
  </si>
  <si>
    <t>非常甜，</t>
    <phoneticPr fontId="2" type="noConversion"/>
  </si>
  <si>
    <t>但气味异常地臭，</t>
    <phoneticPr fontId="2" type="noConversion"/>
  </si>
  <si>
    <t>让人难以靠近。</t>
    <phoneticPr fontId="2" type="noConversion"/>
  </si>
  <si>
    <t>它有着世界上最大的花瓣。</t>
    <phoneticPr fontId="2" type="noConversion"/>
  </si>
  <si>
    <t>每走一步，</t>
    <phoneticPr fontId="2" type="noConversion"/>
  </si>
  <si>
    <t>花瓣都会跟着摇动，</t>
    <phoneticPr fontId="2" type="noConversion"/>
  </si>
  <si>
    <t>同时撒出大量的毒花粉。</t>
    <phoneticPr fontId="2" type="noConversion"/>
  </si>
  <si>
    <t>当花苞伴随“砰”</t>
    <phoneticPr fontId="2" type="noConversion"/>
  </si>
  <si>
    <t>的一声绽放时，</t>
    <phoneticPr fontId="2" type="noConversion"/>
  </si>
  <si>
    <t>就会开始散播</t>
    <phoneticPr fontId="2" type="noConversion"/>
  </si>
  <si>
    <t>能引起过敏的毒花粉。</t>
    <phoneticPr fontId="2" type="noConversion"/>
  </si>
  <si>
    <t>身体长大后，</t>
    <phoneticPr fontId="2" type="noConversion"/>
  </si>
  <si>
    <t>就会从背上长出蘑菇。</t>
    <phoneticPr fontId="2" type="noConversion"/>
  </si>
  <si>
    <t>沐浴在蘑菇孢子中。</t>
    <phoneticPr fontId="2" type="noConversion"/>
  </si>
  <si>
    <t>喜欢黑暗潮湿的地方。</t>
    <phoneticPr fontId="2" type="noConversion"/>
  </si>
  <si>
    <t>这不是虫子的喜好，</t>
    <phoneticPr fontId="2" type="noConversion"/>
  </si>
  <si>
    <t>背上的蘑菇</t>
    <phoneticPr fontId="2" type="noConversion"/>
  </si>
  <si>
    <t>长得越大，</t>
    <phoneticPr fontId="2" type="noConversion"/>
  </si>
  <si>
    <t>播撒出来的蘑菇孢子</t>
    <phoneticPr fontId="2" type="noConversion"/>
  </si>
  <si>
    <t>的效果就越强。</t>
    <phoneticPr fontId="2" type="noConversion"/>
  </si>
  <si>
    <t>蘑菇的喜好。</t>
    <phoneticPr fontId="2" type="noConversion"/>
  </si>
  <si>
    <t>而是在背上长大的</t>
    <phoneticPr fontId="2" type="noConversion"/>
  </si>
  <si>
    <t>全身上下都会</t>
    <phoneticPr fontId="2" type="noConversion"/>
  </si>
  <si>
    <t>渗出毒物。</t>
    <phoneticPr fontId="2" type="noConversion"/>
  </si>
  <si>
    <t>天黑后就会去捉</t>
    <phoneticPr fontId="2" type="noConversion"/>
  </si>
  <si>
    <t>聚在灯光处的小虫子吃掉。</t>
    <phoneticPr fontId="2" type="noConversion"/>
  </si>
  <si>
    <t>双眼具备着</t>
    <phoneticPr fontId="2" type="noConversion"/>
  </si>
  <si>
    <t>雷达功能。</t>
    <phoneticPr fontId="2" type="noConversion"/>
  </si>
  <si>
    <t>会找出藏在黑暗处的</t>
    <phoneticPr fontId="2" type="noConversion"/>
  </si>
  <si>
    <t>小虫子吃掉。</t>
    <phoneticPr fontId="2" type="noConversion"/>
  </si>
  <si>
    <t>翅膀上的鳞粉有</t>
    <phoneticPr fontId="2" type="noConversion"/>
  </si>
  <si>
    <t>颜色浅的会引发麻痹。</t>
    <phoneticPr fontId="2" type="noConversion"/>
  </si>
  <si>
    <t>不同的效果，比方说</t>
    <phoneticPr fontId="2" type="noConversion"/>
  </si>
  <si>
    <t>颜色深的会引起中毒，</t>
    <phoneticPr fontId="2" type="noConversion"/>
  </si>
  <si>
    <t>会激烈地拍动</t>
    <phoneticPr fontId="2" type="noConversion"/>
  </si>
  <si>
    <t>大大的翅膀，</t>
    <phoneticPr fontId="2" type="noConversion"/>
  </si>
  <si>
    <t>并且撒下毒粉</t>
    <phoneticPr fontId="2" type="noConversion"/>
  </si>
  <si>
    <t>来发动攻击。</t>
    <phoneticPr fontId="2" type="noConversion"/>
  </si>
  <si>
    <t>皮肤非常薄，</t>
    <phoneticPr fontId="2" type="noConversion"/>
  </si>
  <si>
    <t>所以被光照射后，</t>
    <phoneticPr fontId="2" type="noConversion"/>
  </si>
  <si>
    <t>就会因血液升温</t>
    <phoneticPr fontId="2" type="noConversion"/>
  </si>
  <si>
    <t>而变得虚弱。</t>
    <phoneticPr fontId="2" type="noConversion"/>
  </si>
  <si>
    <t>地鼠经过之后的土壤</t>
    <phoneticPr fontId="2" type="noConversion"/>
  </si>
  <si>
    <t>会得到适当的翻动，</t>
    <phoneticPr fontId="2" type="noConversion"/>
  </si>
  <si>
    <t>成为最适合</t>
    <phoneticPr fontId="2" type="noConversion"/>
  </si>
  <si>
    <t>耕种的田地。</t>
    <phoneticPr fontId="2" type="noConversion"/>
  </si>
  <si>
    <t>３个脑袋</t>
    <phoneticPr fontId="2" type="noConversion"/>
  </si>
  <si>
    <t>会轮流行动，</t>
    <phoneticPr fontId="2" type="noConversion"/>
  </si>
  <si>
    <t>是为了让周围的土地</t>
    <phoneticPr fontId="2" type="noConversion"/>
  </si>
  <si>
    <t>变得松软而容易挖掘。</t>
    <phoneticPr fontId="2" type="noConversion"/>
  </si>
  <si>
    <t>有着惊人的力量，</t>
    <phoneticPr fontId="2" type="noConversion"/>
  </si>
  <si>
    <t>无论地面多么坚硬，</t>
    <phoneticPr fontId="2" type="noConversion"/>
  </si>
  <si>
    <t>都能挖到</t>
    <phoneticPr fontId="2" type="noConversion"/>
  </si>
  <si>
    <t>地下１００公里。</t>
    <phoneticPr fontId="2" type="noConversion"/>
  </si>
  <si>
    <t>看到圆圆的东西</t>
    <phoneticPr fontId="2" type="noConversion"/>
  </si>
  <si>
    <t>就会玩得忘记时间。</t>
    <phoneticPr fontId="2" type="noConversion"/>
  </si>
  <si>
    <t>然后玩累了</t>
    <phoneticPr fontId="2" type="noConversion"/>
  </si>
  <si>
    <t>就直接睡。</t>
    <phoneticPr fontId="2" type="noConversion"/>
  </si>
  <si>
    <t>非常喜欢</t>
    <phoneticPr fontId="2" type="noConversion"/>
  </si>
  <si>
    <t>闪闪发亮的东西。</t>
    <phoneticPr fontId="2" type="noConversion"/>
  </si>
  <si>
    <t>捡到就会找地方藏起来。</t>
    <phoneticPr fontId="2" type="noConversion"/>
  </si>
  <si>
    <t>特别钟情于硬币，</t>
    <phoneticPr fontId="2" type="noConversion"/>
  </si>
  <si>
    <t>凭借着柔软的肌肉，</t>
    <phoneticPr fontId="2" type="noConversion"/>
  </si>
  <si>
    <t>它能悄无声息地行走。</t>
    <phoneticPr fontId="2" type="noConversion"/>
  </si>
  <si>
    <t>瞬间就能</t>
    <phoneticPr fontId="2" type="noConversion"/>
  </si>
  <si>
    <t>捕杀猎物。</t>
    <phoneticPr fontId="2" type="noConversion"/>
  </si>
  <si>
    <t>虽然很多人向往着</t>
    <phoneticPr fontId="2" type="noConversion"/>
  </si>
  <si>
    <t>它从全身散发出的气质，</t>
    <phoneticPr fontId="2" type="noConversion"/>
  </si>
  <si>
    <t>就会乱抓。</t>
    <phoneticPr fontId="2" type="noConversion"/>
  </si>
  <si>
    <t>但是它动不动</t>
    <phoneticPr fontId="2" type="noConversion"/>
  </si>
  <si>
    <t>虽然体内蕴含着</t>
    <phoneticPr fontId="2" type="noConversion"/>
  </si>
  <si>
    <t>神奇的力量，但由于不会</t>
    <phoneticPr fontId="2" type="noConversion"/>
  </si>
  <si>
    <t>记得有用过它，因此经常会</t>
    <phoneticPr fontId="2" type="noConversion"/>
  </si>
  <si>
    <t>不明所以地歪着脖子。</t>
    <phoneticPr fontId="2" type="noConversion"/>
  </si>
  <si>
    <t>总是会在头痛欲裂时</t>
    <phoneticPr fontId="2" type="noConversion"/>
  </si>
  <si>
    <t>发挥出神奇的力量，</t>
    <phoneticPr fontId="2" type="noConversion"/>
  </si>
  <si>
    <t>但似乎没有</t>
    <phoneticPr fontId="2" type="noConversion"/>
  </si>
  <si>
    <t>当时的记忆。</t>
    <phoneticPr fontId="2" type="noConversion"/>
  </si>
  <si>
    <t>当它靠着带有蹼的</t>
    <phoneticPr fontId="2" type="noConversion"/>
  </si>
  <si>
    <t>修长手脚全力游泳时，</t>
    <phoneticPr fontId="2" type="noConversion"/>
  </si>
  <si>
    <t>不知为何</t>
    <phoneticPr fontId="2" type="noConversion"/>
  </si>
  <si>
    <t>额头会闪闪发光。</t>
    <phoneticPr fontId="2" type="noConversion"/>
  </si>
  <si>
    <t>黄昏时会在水边出没。</t>
    <phoneticPr fontId="2" type="noConversion"/>
  </si>
  <si>
    <t>据说额头奇异地发光时，</t>
    <phoneticPr fontId="2" type="noConversion"/>
  </si>
  <si>
    <t>它就能自如地</t>
    <phoneticPr fontId="2" type="noConversion"/>
  </si>
  <si>
    <t>使用神通力。</t>
    <phoneticPr fontId="2" type="noConversion"/>
  </si>
  <si>
    <t>一旦发现合适的猎物，</t>
    <phoneticPr fontId="2" type="noConversion"/>
  </si>
  <si>
    <t>就会成群结队地</t>
    <phoneticPr fontId="2" type="noConversion"/>
  </si>
  <si>
    <t>发起袭击。</t>
    <phoneticPr fontId="2" type="noConversion"/>
  </si>
  <si>
    <t>不论什么时候都在生气。</t>
    <phoneticPr fontId="2" type="noConversion"/>
  </si>
  <si>
    <t>无缘无故发火暴怒后，</t>
    <phoneticPr fontId="2" type="noConversion"/>
  </si>
  <si>
    <t>甚至会变得敌我不分，</t>
    <phoneticPr fontId="2" type="noConversion"/>
  </si>
  <si>
    <t>这时靠近它</t>
    <phoneticPr fontId="2" type="noConversion"/>
  </si>
  <si>
    <t>会非常危险。</t>
    <phoneticPr fontId="2" type="noConversion"/>
  </si>
  <si>
    <t>趁它睡着时靠近的话，</t>
    <phoneticPr fontId="2" type="noConversion"/>
  </si>
  <si>
    <t>它就会在迷糊中暴怒起来，</t>
    <phoneticPr fontId="2" type="noConversion"/>
  </si>
  <si>
    <t>然后莫名其妙地</t>
    <phoneticPr fontId="2" type="noConversion"/>
  </si>
  <si>
    <t>开始追赶。</t>
    <phoneticPr fontId="2" type="noConversion"/>
  </si>
  <si>
    <t>仅是感觉到他方的视线</t>
    <phoneticPr fontId="2" type="noConversion"/>
  </si>
  <si>
    <t>都会暴怒起来，</t>
    <phoneticPr fontId="2" type="noConversion"/>
  </si>
  <si>
    <t>然后去追</t>
    <phoneticPr fontId="2" type="noConversion"/>
  </si>
  <si>
    <t>与它对上视线的家伙。</t>
    <phoneticPr fontId="2" type="noConversion"/>
  </si>
  <si>
    <t>性格忠诚。</t>
    <phoneticPr fontId="2" type="noConversion"/>
  </si>
  <si>
    <t>为了保护自己的训练家，</t>
    <phoneticPr fontId="2" type="noConversion"/>
  </si>
  <si>
    <t>朝对手狂吠。</t>
    <phoneticPr fontId="2" type="noConversion"/>
  </si>
  <si>
    <t>被它雄伟的鬃毛</t>
    <phoneticPr fontId="2" type="noConversion"/>
  </si>
  <si>
    <t>迷倒的人越多，</t>
    <phoneticPr fontId="2" type="noConversion"/>
  </si>
  <si>
    <t>它就越威风凛凛。</t>
    <phoneticPr fontId="2" type="noConversion"/>
  </si>
  <si>
    <t>中国传说中的宝可梦。</t>
    <phoneticPr fontId="2" type="noConversion"/>
  </si>
  <si>
    <t>威风凛凛的叫声</t>
    <phoneticPr fontId="2" type="noConversion"/>
  </si>
  <si>
    <t>充满威严，</t>
    <phoneticPr fontId="2" type="noConversion"/>
  </si>
  <si>
    <t>不管是谁听到后，</t>
    <phoneticPr fontId="2" type="noConversion"/>
  </si>
  <si>
    <t>都会不由自主地跪倒下去。</t>
    <phoneticPr fontId="2" type="noConversion"/>
  </si>
  <si>
    <t>因为不擅长</t>
    <phoneticPr fontId="2" type="noConversion"/>
  </si>
  <si>
    <t>用新长出来的脚走路，</t>
    <phoneticPr fontId="2" type="noConversion"/>
  </si>
  <si>
    <t>所以一直在水里</t>
    <phoneticPr fontId="2" type="noConversion"/>
  </si>
  <si>
    <t>游来游去。</t>
    <phoneticPr fontId="2" type="noConversion"/>
  </si>
  <si>
    <t>腹部的漩涡</t>
    <phoneticPr fontId="2" type="noConversion"/>
  </si>
  <si>
    <t>朝向因地区而异。</t>
    <phoneticPr fontId="2" type="noConversion"/>
  </si>
  <si>
    <t>似乎与赤道</t>
    <phoneticPr fontId="2" type="noConversion"/>
  </si>
  <si>
    <t>有某种关联。</t>
    <phoneticPr fontId="2" type="noConversion"/>
  </si>
  <si>
    <t>全身的皮肤</t>
    <phoneticPr fontId="2" type="noConversion"/>
  </si>
  <si>
    <t>都是湿的，</t>
    <phoneticPr fontId="2" type="noConversion"/>
  </si>
  <si>
    <t>但腹部旋涡的部分</t>
    <phoneticPr fontId="2" type="noConversion"/>
  </si>
  <si>
    <t>摸上去感觉很光滑。</t>
    <phoneticPr fontId="2" type="noConversion"/>
  </si>
  <si>
    <t>腹部的涡</t>
    <phoneticPr fontId="2" type="noConversion"/>
  </si>
  <si>
    <t>有着微妙的弯曲，</t>
    <phoneticPr fontId="2" type="noConversion"/>
  </si>
  <si>
    <t>如果一直看着的话</t>
    <phoneticPr fontId="2" type="noConversion"/>
  </si>
  <si>
    <t>会昏昏欲睡。</t>
    <phoneticPr fontId="2" type="noConversion"/>
  </si>
  <si>
    <t>横渡太平洋。</t>
    <phoneticPr fontId="2" type="noConversion"/>
  </si>
  <si>
    <t>擅长运用全身肌肉</t>
    <phoneticPr fontId="2" type="noConversion"/>
  </si>
  <si>
    <t>来强而有力地游泳，</t>
    <phoneticPr fontId="2" type="noConversion"/>
  </si>
  <si>
    <t>但不知为何</t>
    <phoneticPr fontId="2" type="noConversion"/>
  </si>
  <si>
    <t>生活在陆地上。</t>
    <phoneticPr fontId="2" type="noConversion"/>
  </si>
  <si>
    <t>当它一时兴起</t>
    <phoneticPr fontId="2" type="noConversion"/>
  </si>
  <si>
    <t>反复使用瞬间移动时，</t>
    <phoneticPr fontId="2" type="noConversion"/>
  </si>
  <si>
    <t>看起来就好像</t>
    <phoneticPr fontId="2" type="noConversion"/>
  </si>
  <si>
    <t>分身了一样。</t>
    <phoneticPr fontId="2" type="noConversion"/>
  </si>
  <si>
    <t>越是到危急关头，</t>
    <phoneticPr fontId="2" type="noConversion"/>
  </si>
  <si>
    <t>能力就会提升得越高。</t>
    <phoneticPr fontId="2" type="noConversion"/>
  </si>
  <si>
    <t>会让机械失灵。</t>
    <phoneticPr fontId="2" type="noConversion"/>
  </si>
  <si>
    <t>因为脑细胞</t>
    <phoneticPr fontId="2" type="noConversion"/>
  </si>
  <si>
    <t>会不断分裂，</t>
    <phoneticPr fontId="2" type="noConversion"/>
  </si>
  <si>
    <t>并且其数量至死都在增加，</t>
    <phoneticPr fontId="2" type="noConversion"/>
  </si>
  <si>
    <t>所以它能记住任何事情。</t>
    <phoneticPr fontId="2" type="noConversion"/>
  </si>
  <si>
    <t>时时刻刻都充满力量。</t>
    <phoneticPr fontId="2" type="noConversion"/>
  </si>
  <si>
    <t>由于体力过剩而</t>
    <phoneticPr fontId="2" type="noConversion"/>
  </si>
  <si>
    <t>去举起岩石消磨时间，</t>
    <phoneticPr fontId="2" type="noConversion"/>
  </si>
  <si>
    <t>也因此变得更强。</t>
    <phoneticPr fontId="2" type="noConversion"/>
  </si>
  <si>
    <t>不论什么时候</t>
    <phoneticPr fontId="2" type="noConversion"/>
  </si>
  <si>
    <t>却不会感到疲倦，</t>
    <phoneticPr fontId="2" type="noConversion"/>
  </si>
  <si>
    <t>顽强而健壮的宝可梦。</t>
    <phoneticPr fontId="2" type="noConversion"/>
  </si>
  <si>
    <t>全身的肌肉</t>
    <phoneticPr fontId="2" type="noConversion"/>
  </si>
  <si>
    <t>都充满了力量。</t>
    <phoneticPr fontId="2" type="noConversion"/>
  </si>
  <si>
    <t>即使一动不动也会</t>
    <phoneticPr fontId="2" type="noConversion"/>
  </si>
  <si>
    <t>散发出惊人的威慑力。</t>
    <phoneticPr fontId="2" type="noConversion"/>
  </si>
  <si>
    <t>能够迅速活动</t>
    <phoneticPr fontId="2" type="noConversion"/>
  </si>
  <si>
    <t>４只手臂，</t>
    <phoneticPr fontId="2" type="noConversion"/>
  </si>
  <si>
    <t>从各个角度毫不停歇地</t>
    <phoneticPr fontId="2" type="noConversion"/>
  </si>
  <si>
    <t>使出拳击或手刀。</t>
    <phoneticPr fontId="2" type="noConversion"/>
  </si>
  <si>
    <t>用４条手臂摁住对手的</t>
    <phoneticPr fontId="2" type="noConversion"/>
  </si>
  <si>
    <t>手脚，并剥夺对方的</t>
    <phoneticPr fontId="2" type="noConversion"/>
  </si>
  <si>
    <t>地平线的另一端。</t>
    <phoneticPr fontId="2" type="noConversion"/>
  </si>
  <si>
    <t>自由后，就会将其扔飞到</t>
    <phoneticPr fontId="2" type="noConversion"/>
  </si>
  <si>
    <t>都会全力行动</t>
    <phoneticPr fontId="2" type="noConversion"/>
  </si>
  <si>
    <t>肉眼无法看清。</t>
    <phoneticPr fontId="2" type="noConversion"/>
  </si>
  <si>
    <t>会把脚伸到</t>
    <phoneticPr fontId="2" type="noConversion"/>
  </si>
  <si>
    <t>地下深处补充水分，</t>
    <phoneticPr fontId="2" type="noConversion"/>
  </si>
  <si>
    <t>但若在此时遭到袭击</t>
    <phoneticPr fontId="2" type="noConversion"/>
  </si>
  <si>
    <t>就会无法逃脱。</t>
    <phoneticPr fontId="2" type="noConversion"/>
  </si>
  <si>
    <t>因为它也能分泌出</t>
    <phoneticPr fontId="2" type="noConversion"/>
  </si>
  <si>
    <t>让溶解液无效的液体，</t>
    <phoneticPr fontId="2" type="noConversion"/>
  </si>
  <si>
    <t>所以自身</t>
    <phoneticPr fontId="2" type="noConversion"/>
  </si>
  <si>
    <t>不会被溶解。</t>
    <phoneticPr fontId="2" type="noConversion"/>
  </si>
  <si>
    <t>它会用锋利的叶子切碎，</t>
    <phoneticPr fontId="2" type="noConversion"/>
  </si>
  <si>
    <t>再一点不剩地吃下。</t>
    <phoneticPr fontId="2" type="noConversion"/>
  </si>
  <si>
    <t>对于比嘴</t>
    <phoneticPr fontId="2" type="noConversion"/>
  </si>
  <si>
    <t>更大的猎物，</t>
    <phoneticPr fontId="2" type="noConversion"/>
  </si>
  <si>
    <t>溶掉了大量食物的</t>
    <phoneticPr fontId="2" type="noConversion"/>
  </si>
  <si>
    <t>溶解液会更加甜美，</t>
    <phoneticPr fontId="2" type="noConversion"/>
  </si>
  <si>
    <t>从而变得更容易</t>
    <phoneticPr fontId="2" type="noConversion"/>
  </si>
  <si>
    <t>吸引猎物上门。</t>
    <phoneticPr fontId="2" type="noConversion"/>
  </si>
  <si>
    <t>因为蜜的气味而</t>
    <phoneticPr fontId="2" type="noConversion"/>
  </si>
  <si>
    <t>聚集过来的东西</t>
    <phoneticPr fontId="2" type="noConversion"/>
  </si>
  <si>
    <t>全都会在它的嘴里溶化，</t>
    <phoneticPr fontId="2" type="noConversion"/>
  </si>
  <si>
    <t>凶暴的植物宝可梦。</t>
    <phoneticPr fontId="2" type="noConversion"/>
  </si>
  <si>
    <t>在潮退后，</t>
    <phoneticPr fontId="2" type="noConversion"/>
  </si>
  <si>
    <t>能看到被留在沙滩上</t>
    <phoneticPr fontId="2" type="noConversion"/>
  </si>
  <si>
    <t>晒得干巴巴的</t>
    <phoneticPr fontId="2" type="noConversion"/>
  </si>
  <si>
    <t>玛瑙水母。</t>
    <phoneticPr fontId="2" type="noConversion"/>
  </si>
  <si>
    <t>会在水面漫无目的地漂荡。</t>
    <phoneticPr fontId="2" type="noConversion"/>
  </si>
  <si>
    <t>战斗时会将</t>
    <phoneticPr fontId="2" type="noConversion"/>
  </si>
  <si>
    <t>８０根触手全部伸出，</t>
    <phoneticPr fontId="2" type="noConversion"/>
  </si>
  <si>
    <t>制成有毒的</t>
    <phoneticPr fontId="2" type="noConversion"/>
  </si>
  <si>
    <t>包围网。</t>
    <phoneticPr fontId="2" type="noConversion"/>
  </si>
  <si>
    <t>多达８０根的</t>
    <phoneticPr fontId="2" type="noConversion"/>
  </si>
  <si>
    <t>触手含有水分，</t>
    <phoneticPr fontId="2" type="noConversion"/>
  </si>
  <si>
    <t>任何地方。</t>
    <phoneticPr fontId="2" type="noConversion"/>
  </si>
  <si>
    <t>能伸长并缠住</t>
    <phoneticPr fontId="2" type="noConversion"/>
  </si>
  <si>
    <t>很多人只是没注意到，</t>
    <phoneticPr fontId="2" type="noConversion"/>
  </si>
  <si>
    <t>其实只要细心观察周围，</t>
    <phoneticPr fontId="2" type="noConversion"/>
  </si>
  <si>
    <t>就能发现</t>
    <phoneticPr fontId="2" type="noConversion"/>
  </si>
  <si>
    <t>有很多小拳石。</t>
    <phoneticPr fontId="2" type="noConversion"/>
  </si>
  <si>
    <t>不论多么险峻的山都能</t>
    <phoneticPr fontId="2" type="noConversion"/>
  </si>
  <si>
    <t>使用双手顺利地爬上去。</t>
    <phoneticPr fontId="2" type="noConversion"/>
  </si>
  <si>
    <t>一旦生气</t>
    <phoneticPr fontId="2" type="noConversion"/>
  </si>
  <si>
    <t>就会挥舞拳头。</t>
    <phoneticPr fontId="2" type="noConversion"/>
  </si>
  <si>
    <t>性格豪爽。</t>
    <phoneticPr fontId="2" type="noConversion"/>
  </si>
  <si>
    <t>从山上滚下来时，</t>
    <phoneticPr fontId="2" type="noConversion"/>
  </si>
  <si>
    <t>滚得身体到处缺损</t>
    <phoneticPr fontId="2" type="noConversion"/>
  </si>
  <si>
    <t>也毫不在意。</t>
    <phoneticPr fontId="2" type="noConversion"/>
  </si>
  <si>
    <t>因为走路很慢，</t>
    <phoneticPr fontId="2" type="noConversion"/>
  </si>
  <si>
    <t>所以靠滚来移动。</t>
    <phoneticPr fontId="2" type="noConversion"/>
  </si>
  <si>
    <t>途中遇到什么</t>
    <phoneticPr fontId="2" type="noConversion"/>
  </si>
  <si>
    <t>都不会在意。</t>
    <phoneticPr fontId="2" type="noConversion"/>
  </si>
  <si>
    <t>１年蜕皮１次。</t>
    <phoneticPr fontId="2" type="noConversion"/>
  </si>
  <si>
    <t xml:space="preserve">脱掉的壳马上就会变硬， </t>
    <phoneticPr fontId="2" type="noConversion"/>
  </si>
  <si>
    <t>然后碎裂成</t>
    <phoneticPr fontId="2" type="noConversion"/>
  </si>
  <si>
    <t>一小块一小块。</t>
    <phoneticPr fontId="2" type="noConversion"/>
  </si>
  <si>
    <t>会故意让自己的</t>
    <phoneticPr fontId="2" type="noConversion"/>
  </si>
  <si>
    <t>身体爆炸，</t>
    <phoneticPr fontId="2" type="noConversion"/>
  </si>
  <si>
    <t>再借助爆炸的力量</t>
    <phoneticPr fontId="2" type="noConversion"/>
  </si>
  <si>
    <t>来飞跃于山与山之间。</t>
    <phoneticPr fontId="2" type="noConversion"/>
  </si>
  <si>
    <t>出生后难以</t>
    <phoneticPr fontId="2" type="noConversion"/>
  </si>
  <si>
    <t>立刻奔跑。</t>
    <phoneticPr fontId="2" type="noConversion"/>
  </si>
  <si>
    <t>为了追赶双亲，</t>
    <phoneticPr fontId="2" type="noConversion"/>
  </si>
  <si>
    <t>会跑得越来越快。</t>
    <phoneticPr fontId="2" type="noConversion"/>
  </si>
  <si>
    <t>如果在背后</t>
    <phoneticPr fontId="2" type="noConversion"/>
  </si>
  <si>
    <t>感受到气息，</t>
    <phoneticPr fontId="2" type="noConversion"/>
  </si>
  <si>
    <t>就会用有比钻石还硬的蹄</t>
    <phoneticPr fontId="2" type="noConversion"/>
  </si>
  <si>
    <t>的后腿踢过去。</t>
    <phoneticPr fontId="2" type="noConversion"/>
  </si>
  <si>
    <t>飞驰的时候，</t>
    <phoneticPr fontId="2" type="noConversion"/>
  </si>
  <si>
    <t>加速能力十分惊人。</t>
    <phoneticPr fontId="2" type="noConversion"/>
  </si>
  <si>
    <t>开始奔跑之后，</t>
    <phoneticPr fontId="2" type="noConversion"/>
  </si>
  <si>
    <t>只需４步就能达到</t>
    <phoneticPr fontId="2" type="noConversion"/>
  </si>
  <si>
    <t>最高速２４０公里。</t>
    <phoneticPr fontId="2" type="noConversion"/>
  </si>
  <si>
    <t>尾巴尖端会</t>
    <phoneticPr fontId="2" type="noConversion"/>
  </si>
  <si>
    <t>一直渗出的甜味。</t>
    <phoneticPr fontId="2" type="noConversion"/>
  </si>
  <si>
    <t>虽然没有营养，但是</t>
    <phoneticPr fontId="2" type="noConversion"/>
  </si>
  <si>
    <t>咬上去就会有幸福的感觉。</t>
    <phoneticPr fontId="2" type="noConversion"/>
  </si>
  <si>
    <t>但是大舌贝的毒素渗入后，</t>
    <phoneticPr fontId="2" type="noConversion"/>
  </si>
  <si>
    <t>变得感受不到疼痛了。</t>
    <phoneticPr fontId="2" type="noConversion"/>
  </si>
  <si>
    <t>虽然感觉</t>
    <phoneticPr fontId="2" type="noConversion"/>
  </si>
  <si>
    <t>原本就很迟钝，</t>
    <phoneticPr fontId="2" type="noConversion"/>
  </si>
  <si>
    <t>它就有可能接近。</t>
    <phoneticPr fontId="2" type="noConversion"/>
  </si>
  <si>
    <t>会从左右的组件里</t>
    <phoneticPr fontId="2" type="noConversion"/>
  </si>
  <si>
    <t>３只小磁怪</t>
    <phoneticPr fontId="2" type="noConversion"/>
  </si>
  <si>
    <t>由强大的磁力结合在一起。</t>
    <phoneticPr fontId="2" type="noConversion"/>
  </si>
  <si>
    <t>一靠近它</t>
    <phoneticPr fontId="2" type="noConversion"/>
  </si>
  <si>
    <t>就会感到强烈的耳鸣。</t>
    <phoneticPr fontId="2" type="noConversion"/>
  </si>
  <si>
    <t>结合各个小磁怪的</t>
    <phoneticPr fontId="2" type="noConversion"/>
  </si>
  <si>
    <t>磁力很强大，</t>
    <phoneticPr fontId="2" type="noConversion"/>
  </si>
  <si>
    <t>甚至能让周围的</t>
    <phoneticPr fontId="2" type="noConversion"/>
  </si>
  <si>
    <t>水分变干燥。</t>
    <phoneticPr fontId="2" type="noConversion"/>
  </si>
  <si>
    <t>拿着的茎来打倒对方。</t>
    <phoneticPr fontId="2" type="noConversion"/>
  </si>
  <si>
    <t>它们会运用手上</t>
    <phoneticPr fontId="2" type="noConversion"/>
  </si>
  <si>
    <t>如果有谁想争夺宝贵的</t>
    <phoneticPr fontId="2" type="noConversion"/>
  </si>
  <si>
    <t>茎所生长的地方，</t>
    <phoneticPr fontId="2" type="noConversion"/>
  </si>
  <si>
    <t>一旦吃了</t>
    <phoneticPr fontId="2" type="noConversion"/>
  </si>
  <si>
    <t>当作紧急食物的茎，</t>
    <phoneticPr fontId="2" type="noConversion"/>
  </si>
  <si>
    <t>去寻找其他的茎。</t>
    <phoneticPr fontId="2" type="noConversion"/>
  </si>
  <si>
    <t>它就会一溜烟地跑起来</t>
    <phoneticPr fontId="2" type="noConversion"/>
  </si>
  <si>
    <t>通过让２个脑袋</t>
    <phoneticPr fontId="2" type="noConversion"/>
  </si>
  <si>
    <t>有顺序地上下运动</t>
    <phoneticPr fontId="2" type="noConversion"/>
  </si>
  <si>
    <t>来提升</t>
    <phoneticPr fontId="2" type="noConversion"/>
  </si>
  <si>
    <t>奔跑时的稳定性。</t>
    <phoneticPr fontId="2" type="noConversion"/>
  </si>
  <si>
    <t>脚印甚至有</t>
    <phoneticPr fontId="2" type="noConversion"/>
  </si>
  <si>
    <t>１０厘米深，</t>
    <phoneticPr fontId="2" type="noConversion"/>
  </si>
  <si>
    <t>一边用力地踩踏地面，</t>
    <phoneticPr fontId="2" type="noConversion"/>
  </si>
  <si>
    <t>一边在草原奔驰。</t>
    <phoneticPr fontId="2" type="noConversion"/>
  </si>
  <si>
    <t>收集３倍的信息</t>
    <phoneticPr fontId="2" type="noConversion"/>
  </si>
  <si>
    <t>来制定高水准的战术。</t>
    <phoneticPr fontId="2" type="noConversion"/>
  </si>
  <si>
    <t>偶尔会因为过度思考</t>
    <phoneticPr fontId="2" type="noConversion"/>
  </si>
  <si>
    <t>而无法动弹。</t>
    <phoneticPr fontId="2" type="noConversion"/>
  </si>
  <si>
    <t>如果用其中一个脑袋</t>
    <phoneticPr fontId="2" type="noConversion"/>
  </si>
  <si>
    <t>吃了食物，</t>
    <phoneticPr fontId="2" type="noConversion"/>
  </si>
  <si>
    <t>其他的脑袋也会感到满足</t>
    <phoneticPr fontId="2" type="noConversion"/>
  </si>
  <si>
    <t>并停止争斗。</t>
    <phoneticPr fontId="2" type="noConversion"/>
  </si>
  <si>
    <t>就能自由地游泳。</t>
    <phoneticPr fontId="2" type="noConversion"/>
  </si>
  <si>
    <t>白天大多会在</t>
    <phoneticPr fontId="2" type="noConversion"/>
  </si>
  <si>
    <t>较浅的海底睡觉。</t>
    <phoneticPr fontId="2" type="noConversion"/>
  </si>
  <si>
    <t>游泳的时候</t>
    <phoneticPr fontId="2" type="noConversion"/>
  </si>
  <si>
    <t>会闭上鼻孔。</t>
    <phoneticPr fontId="2" type="noConversion"/>
  </si>
  <si>
    <t>身体呈流线型，</t>
    <phoneticPr fontId="2" type="noConversion"/>
  </si>
  <si>
    <t>能减少水阻。</t>
    <phoneticPr fontId="2" type="noConversion"/>
  </si>
  <si>
    <t>天气越冷</t>
    <phoneticPr fontId="2" type="noConversion"/>
  </si>
  <si>
    <t>越有精神。</t>
    <phoneticPr fontId="2" type="noConversion"/>
  </si>
  <si>
    <t>特别喜欢</t>
    <phoneticPr fontId="2" type="noConversion"/>
  </si>
  <si>
    <t>有浮冰的寒冷大海。</t>
    <phoneticPr fontId="2" type="noConversion"/>
  </si>
  <si>
    <t>长尾巴</t>
    <phoneticPr fontId="2" type="noConversion"/>
  </si>
  <si>
    <t>在迅速改变方向时很有用。</t>
    <phoneticPr fontId="2" type="noConversion"/>
  </si>
  <si>
    <t>能重新生出臭泥，</t>
    <phoneticPr fontId="2" type="noConversion"/>
  </si>
  <si>
    <t>残留的身体一部分中</t>
    <phoneticPr fontId="2" type="noConversion"/>
  </si>
  <si>
    <t>在它走过的痕迹里</t>
    <phoneticPr fontId="2" type="noConversion"/>
  </si>
  <si>
    <t>因为臭泥走过的痕迹</t>
    <phoneticPr fontId="2" type="noConversion"/>
  </si>
  <si>
    <t>充满了细菌，</t>
    <phoneticPr fontId="2" type="noConversion"/>
  </si>
  <si>
    <t>所以不管什么草</t>
    <phoneticPr fontId="2" type="noConversion"/>
  </si>
  <si>
    <t>都无法生长。</t>
    <phoneticPr fontId="2" type="noConversion"/>
  </si>
  <si>
    <t>喜欢聚集在</t>
    <phoneticPr fontId="2" type="noConversion"/>
  </si>
  <si>
    <t>污泥堆积发臭的地方，</t>
    <phoneticPr fontId="2" type="noConversion"/>
  </si>
  <si>
    <t>所以那附近</t>
    <phoneticPr fontId="2" type="noConversion"/>
  </si>
  <si>
    <t>会变得更臭。</t>
    <phoneticPr fontId="2" type="noConversion"/>
  </si>
  <si>
    <t>身体的成分是剧毒。</t>
    <phoneticPr fontId="2" type="noConversion"/>
  </si>
  <si>
    <t>就会发烧</t>
    <phoneticPr fontId="2" type="noConversion"/>
  </si>
  <si>
    <t>并卧床不起。</t>
    <phoneticPr fontId="2" type="noConversion"/>
  </si>
  <si>
    <t>一不小心碰到了，</t>
    <phoneticPr fontId="2" type="noConversion"/>
  </si>
  <si>
    <t>壳里面积攒的沙砾</t>
    <phoneticPr fontId="2" type="noConversion"/>
  </si>
  <si>
    <t>与大舌贝的体液</t>
    <phoneticPr fontId="2" type="noConversion"/>
  </si>
  <si>
    <t>相互混合会产生出</t>
    <phoneticPr fontId="2" type="noConversion"/>
  </si>
  <si>
    <t>漂亮的珍珠。</t>
    <phoneticPr fontId="2" type="noConversion"/>
  </si>
  <si>
    <t>都无法将其打开。</t>
    <phoneticPr fontId="2" type="noConversion"/>
  </si>
  <si>
    <t>刺甲贝栖息在</t>
    <phoneticPr fontId="2" type="noConversion"/>
  </si>
  <si>
    <t>激流涌动的海里，</t>
    <phoneticPr fontId="2" type="noConversion"/>
  </si>
  <si>
    <t>它壳上的刺</t>
    <phoneticPr fontId="2" type="noConversion"/>
  </si>
  <si>
    <t>又大又尖锐。</t>
    <phoneticPr fontId="2" type="noConversion"/>
  </si>
  <si>
    <t>能用稀薄气体状的</t>
    <phoneticPr fontId="2" type="noConversion"/>
  </si>
  <si>
    <t>身体潜入任何地方，</t>
    <phoneticPr fontId="2" type="noConversion"/>
  </si>
  <si>
    <t>但只要起风</t>
    <phoneticPr fontId="2" type="noConversion"/>
  </si>
  <si>
    <t>就会被吹跑。</t>
    <phoneticPr fontId="2" type="noConversion"/>
  </si>
  <si>
    <t>不管对手的体型多大，</t>
    <phoneticPr fontId="2" type="noConversion"/>
  </si>
  <si>
    <t>并结束它的性命。</t>
    <phoneticPr fontId="2" type="noConversion"/>
  </si>
  <si>
    <t>在伸手不见五指的</t>
    <phoneticPr fontId="2" type="noConversion"/>
  </si>
  <si>
    <t>黑暗之中，</t>
    <phoneticPr fontId="2" type="noConversion"/>
  </si>
  <si>
    <t>鬼斯通会静悄悄地</t>
    <phoneticPr fontId="2" type="noConversion"/>
  </si>
  <si>
    <t>锁定猎物。</t>
    <phoneticPr fontId="2" type="noConversion"/>
  </si>
  <si>
    <t>据说如果被它</t>
    <phoneticPr fontId="2" type="noConversion"/>
  </si>
  <si>
    <t>气体状的舌头舔到，</t>
    <phoneticPr fontId="2" type="noConversion"/>
  </si>
  <si>
    <t>身体就会无法停止颤抖，</t>
    <phoneticPr fontId="2" type="noConversion"/>
  </si>
  <si>
    <t>最终将会导致死亡。</t>
    <phoneticPr fontId="2" type="noConversion"/>
  </si>
  <si>
    <t>一直在夺取</t>
    <phoneticPr fontId="2" type="noConversion"/>
  </si>
  <si>
    <t>周围的热量。</t>
    <phoneticPr fontId="2" type="noConversion"/>
  </si>
  <si>
    <t>会突然感到寒冷</t>
    <phoneticPr fontId="2" type="noConversion"/>
  </si>
  <si>
    <t>是因为耿鬼现身了。</t>
    <phoneticPr fontId="2" type="noConversion"/>
  </si>
  <si>
    <t>会藏进猎物的</t>
    <phoneticPr fontId="2" type="noConversion"/>
  </si>
  <si>
    <t>影子里，</t>
    <phoneticPr fontId="2" type="noConversion"/>
  </si>
  <si>
    <t>然后悄悄地等待</t>
    <phoneticPr fontId="2" type="noConversion"/>
  </si>
  <si>
    <t>夺取性命的机会到来。</t>
    <phoneticPr fontId="2" type="noConversion"/>
  </si>
  <si>
    <t>弯曲扭动身体</t>
    <phoneticPr fontId="2" type="noConversion"/>
  </si>
  <si>
    <t>弯曲扭动</t>
    <phoneticPr fontId="2" type="noConversion"/>
  </si>
  <si>
    <t>巨大结实的身体，</t>
    <phoneticPr fontId="2" type="noConversion"/>
  </si>
  <si>
    <t>以时速８０公里的</t>
    <phoneticPr fontId="2" type="noConversion"/>
  </si>
  <si>
    <t>猛烈劲头向前挖进。</t>
    <phoneticPr fontId="2" type="noConversion"/>
  </si>
  <si>
    <t>明明做了一个美梦，</t>
    <phoneticPr fontId="2" type="noConversion"/>
  </si>
  <si>
    <t>却怎么也想不起来的时候，</t>
    <phoneticPr fontId="2" type="noConversion"/>
  </si>
  <si>
    <t>那就一定是</t>
    <phoneticPr fontId="2" type="noConversion"/>
  </si>
  <si>
    <t>被催眠貘吃掉了。</t>
    <phoneticPr fontId="2" type="noConversion"/>
  </si>
  <si>
    <t>记得所有自己吃过的梦。</t>
    <phoneticPr fontId="2" type="noConversion"/>
  </si>
  <si>
    <t>然后吃掉他们的梦。</t>
    <phoneticPr fontId="2" type="noConversion"/>
  </si>
  <si>
    <t>它会用固定的节奏</t>
    <phoneticPr fontId="2" type="noConversion"/>
  </si>
  <si>
    <t>摆动那形影不离的钟摆。</t>
    <phoneticPr fontId="2" type="noConversion"/>
  </si>
  <si>
    <t>一旦靠近就不由自主地</t>
    <phoneticPr fontId="2" type="noConversion"/>
  </si>
  <si>
    <t>昏昏欲睡。</t>
    <phoneticPr fontId="2" type="noConversion"/>
  </si>
  <si>
    <t>钳子能轻易地拧下。</t>
    <phoneticPr fontId="2" type="noConversion"/>
  </si>
  <si>
    <t>一旦失去钳子，</t>
    <phoneticPr fontId="2" type="noConversion"/>
  </si>
  <si>
    <t>不知为何就会</t>
    <phoneticPr fontId="2" type="noConversion"/>
  </si>
  <si>
    <t>变得无法横着走。</t>
    <phoneticPr fontId="2" type="noConversion"/>
  </si>
  <si>
    <t>都很费劲，</t>
    <phoneticPr fontId="2" type="noConversion"/>
  </si>
  <si>
    <t>变得笨重的钳子</t>
    <phoneticPr fontId="2" type="noConversion"/>
  </si>
  <si>
    <t>而变得步履蹒跚。</t>
    <phoneticPr fontId="2" type="noConversion"/>
  </si>
  <si>
    <t>靠翻滚身体来移动，</t>
    <phoneticPr fontId="2" type="noConversion"/>
  </si>
  <si>
    <t>如果地面凹凸不平，</t>
    <phoneticPr fontId="2" type="noConversion"/>
  </si>
  <si>
    <t>就会受到冲击</t>
    <phoneticPr fontId="2" type="noConversion"/>
  </si>
  <si>
    <t>而爆炸。</t>
    <phoneticPr fontId="2" type="noConversion"/>
  </si>
  <si>
    <t>在精灵球发售的</t>
    <phoneticPr fontId="2" type="noConversion"/>
  </si>
  <si>
    <t>同一时期被发现。</t>
    <phoneticPr fontId="2" type="noConversion"/>
  </si>
  <si>
    <t>据说两者之间</t>
    <phoneticPr fontId="2" type="noConversion"/>
  </si>
  <si>
    <t>有着某种联系。</t>
    <phoneticPr fontId="2" type="noConversion"/>
  </si>
  <si>
    <t>因为拥有着</t>
    <phoneticPr fontId="2" type="noConversion"/>
  </si>
  <si>
    <t>一旦闲下来就会爆炸着玩，</t>
    <phoneticPr fontId="2" type="noConversion"/>
  </si>
  <si>
    <t>所以很危险。</t>
    <phoneticPr fontId="2" type="noConversion"/>
  </si>
  <si>
    <t>因为体内储存着</t>
    <phoneticPr fontId="2" type="noConversion"/>
  </si>
  <si>
    <t>多到快要溢出的电能，</t>
    <phoneticPr fontId="2" type="noConversion"/>
  </si>
  <si>
    <t>所以稍微受点刺激</t>
    <phoneticPr fontId="2" type="noConversion"/>
  </si>
  <si>
    <t>便会爆炸。</t>
    <phoneticPr fontId="2" type="noConversion"/>
  </si>
  <si>
    <t>过剩的大量电能，</t>
    <phoneticPr fontId="2" type="noConversion"/>
  </si>
  <si>
    <t>表面相当坚硬。</t>
    <phoneticPr fontId="2" type="noConversion"/>
  </si>
  <si>
    <t>就算有裂痕，里面的部分</t>
    <phoneticPr fontId="2" type="noConversion"/>
  </si>
  <si>
    <t>也不会有漏出来之类的</t>
    <phoneticPr fontId="2" type="noConversion"/>
  </si>
  <si>
    <t>状况，可以继续活下去。</t>
    <phoneticPr fontId="2" type="noConversion"/>
  </si>
  <si>
    <t>因为会互相发出仅能在</t>
    <phoneticPr fontId="2" type="noConversion"/>
  </si>
  <si>
    <t>蛋蛋之间传递的心灵感应，</t>
    <phoneticPr fontId="2" type="noConversion"/>
  </si>
  <si>
    <t>所以无论何时</t>
    <phoneticPr fontId="2" type="noConversion"/>
  </si>
  <si>
    <t>都能集齐６只。</t>
    <phoneticPr fontId="2" type="noConversion"/>
  </si>
  <si>
    <t>虽然３个脑袋</t>
    <phoneticPr fontId="2" type="noConversion"/>
  </si>
  <si>
    <t>分别想着不同的事情，</t>
    <phoneticPr fontId="2" type="noConversion"/>
  </si>
  <si>
    <t>但它们感情很好，</t>
    <phoneticPr fontId="2" type="noConversion"/>
  </si>
  <si>
    <t>好像并不会吵架什么的。</t>
    <phoneticPr fontId="2" type="noConversion"/>
  </si>
  <si>
    <t>发出特殊的心灵感应。</t>
    <phoneticPr fontId="2" type="noConversion"/>
  </si>
  <si>
    <t>会为了寻找伙伴而开始</t>
    <phoneticPr fontId="2" type="noConversion"/>
  </si>
  <si>
    <t>掉下来的脑袋</t>
    <phoneticPr fontId="2" type="noConversion"/>
  </si>
  <si>
    <t>会变成蛋蛋，</t>
    <phoneticPr fontId="2" type="noConversion"/>
  </si>
  <si>
    <t>悲伤的时候、寂寞的时候</t>
    <phoneticPr fontId="2" type="noConversion"/>
  </si>
  <si>
    <t>戴着的头骨会摇晃，</t>
    <phoneticPr fontId="2" type="noConversion"/>
  </si>
  <si>
    <t>并会发出可怜、</t>
    <phoneticPr fontId="2" type="noConversion"/>
  </si>
  <si>
    <t>哀伤的声音。</t>
    <phoneticPr fontId="2" type="noConversion"/>
  </si>
  <si>
    <t>头上一直戴着与自己</t>
    <phoneticPr fontId="2" type="noConversion"/>
  </si>
  <si>
    <t>天人永隔的母亲的头骨，</t>
    <phoneticPr fontId="2" type="noConversion"/>
  </si>
  <si>
    <t>所以没人知道</t>
    <phoneticPr fontId="2" type="noConversion"/>
  </si>
  <si>
    <t>它本来的面貌。</t>
    <phoneticPr fontId="2" type="noConversion"/>
  </si>
  <si>
    <t>曾有人目击到</t>
    <phoneticPr fontId="2" type="noConversion"/>
  </si>
  <si>
    <t>它用手里拿着的骨头</t>
    <phoneticPr fontId="2" type="noConversion"/>
  </si>
  <si>
    <t>敲打石头发出声音</t>
    <phoneticPr fontId="2" type="noConversion"/>
  </si>
  <si>
    <t>来与同伴联系的情形。</t>
    <phoneticPr fontId="2" type="noConversion"/>
  </si>
  <si>
    <t>会从某个地方捡回骨头。</t>
    <phoneticPr fontId="2" type="noConversion"/>
  </si>
  <si>
    <t>有传闻说</t>
    <phoneticPr fontId="2" type="noConversion"/>
  </si>
  <si>
    <t>在世界某处有</t>
    <phoneticPr fontId="2" type="noConversion"/>
  </si>
  <si>
    <t>只有嘎啦嘎啦的墓地。</t>
    <phoneticPr fontId="2" type="noConversion"/>
  </si>
  <si>
    <t>拥有卓越的平衡感。</t>
    <phoneticPr fontId="2" type="noConversion"/>
  </si>
  <si>
    <t>无论处于什么姿势</t>
    <phoneticPr fontId="2" type="noConversion"/>
  </si>
  <si>
    <t>都可以连续施展踢击的</t>
    <phoneticPr fontId="2" type="noConversion"/>
  </si>
  <si>
    <t>厉害角色。</t>
    <phoneticPr fontId="2" type="noConversion"/>
  </si>
  <si>
    <t>在施展连续踢的同时，</t>
    <phoneticPr fontId="2" type="noConversion"/>
  </si>
  <si>
    <t>两腿会不断地伸长，</t>
    <phoneticPr fontId="2" type="noConversion"/>
  </si>
  <si>
    <t>连想逃跑的对手</t>
    <phoneticPr fontId="2" type="noConversion"/>
  </si>
  <si>
    <t>也能踢到。</t>
    <phoneticPr fontId="2" type="noConversion"/>
  </si>
  <si>
    <t>打出的拳击</t>
    <phoneticPr fontId="2" type="noConversion"/>
  </si>
  <si>
    <t>甚至能劈开空气。</t>
    <phoneticPr fontId="2" type="noConversion"/>
  </si>
  <si>
    <t>但攻击３分钟后，</t>
    <phoneticPr fontId="2" type="noConversion"/>
  </si>
  <si>
    <t>它似乎就会想休息一下。</t>
    <phoneticPr fontId="2" type="noConversion"/>
  </si>
  <si>
    <t>使出的拳击能劈开空气。</t>
    <phoneticPr fontId="2" type="noConversion"/>
  </si>
  <si>
    <t>出拳的速度极为迅速，</t>
    <phoneticPr fontId="2" type="noConversion"/>
  </si>
  <si>
    <t>即使只是擦过</t>
    <phoneticPr fontId="2" type="noConversion"/>
  </si>
  <si>
    <t>都会造成灼伤。</t>
    <phoneticPr fontId="2" type="noConversion"/>
  </si>
  <si>
    <t>因为一直到舌尖</t>
    <phoneticPr fontId="2" type="noConversion"/>
  </si>
  <si>
    <t>都有着发达的神经，</t>
    <phoneticPr fontId="2" type="noConversion"/>
  </si>
  <si>
    <t>所以能做出</t>
    <phoneticPr fontId="2" type="noConversion"/>
  </si>
  <si>
    <t>微妙的动作。</t>
    <phoneticPr fontId="2" type="noConversion"/>
  </si>
  <si>
    <t>长长的舌头上</t>
    <phoneticPr fontId="2" type="noConversion"/>
  </si>
  <si>
    <t>粘满了黏糊糊的唾液。</t>
    <phoneticPr fontId="2" type="noConversion"/>
  </si>
  <si>
    <t>能粘住任何东西，</t>
    <phoneticPr fontId="2" type="noConversion"/>
  </si>
  <si>
    <t>非常方便。</t>
    <phoneticPr fontId="2" type="noConversion"/>
  </si>
  <si>
    <t>体内的毒瓦斯的成分</t>
    <phoneticPr fontId="2" type="noConversion"/>
  </si>
  <si>
    <t>比空气要轻一点，</t>
    <phoneticPr fontId="2" type="noConversion"/>
  </si>
  <si>
    <t>因此总是能够</t>
    <phoneticPr fontId="2" type="noConversion"/>
  </si>
  <si>
    <t>稍微飘在空中。</t>
    <phoneticPr fontId="2" type="noConversion"/>
  </si>
  <si>
    <t>的宝可梦。</t>
    <phoneticPr fontId="2" type="noConversion"/>
  </si>
  <si>
    <t>薄薄的膜状身体里</t>
    <phoneticPr fontId="2" type="noConversion"/>
  </si>
  <si>
    <t>停不下来的瓦斯。</t>
    <phoneticPr fontId="2" type="noConversion"/>
  </si>
  <si>
    <t>将它体内所含的</t>
    <phoneticPr fontId="2" type="noConversion"/>
  </si>
  <si>
    <t>毒瓦斯稀释到极限，</t>
    <phoneticPr fontId="2" type="noConversion"/>
  </si>
  <si>
    <t>就能做出</t>
    <phoneticPr fontId="2" type="noConversion"/>
  </si>
  <si>
    <t>最高级的香水。</t>
    <phoneticPr fontId="2" type="noConversion"/>
  </si>
  <si>
    <t>４条腿很短</t>
    <phoneticPr fontId="2" type="noConversion"/>
  </si>
  <si>
    <t>不容易转弯。</t>
    <phoneticPr fontId="2" type="noConversion"/>
  </si>
  <si>
    <t>只能一味地</t>
    <phoneticPr fontId="2" type="noConversion"/>
  </si>
  <si>
    <t>猛撞而已。</t>
    <phoneticPr fontId="2" type="noConversion"/>
  </si>
  <si>
    <t>不管自己正在前进的</t>
    <phoneticPr fontId="2" type="noConversion"/>
  </si>
  <si>
    <t>方向上有什么都不会在意。</t>
    <phoneticPr fontId="2" type="noConversion"/>
  </si>
  <si>
    <t>因为全都会</t>
    <phoneticPr fontId="2" type="noConversion"/>
  </si>
  <si>
    <t>被它用猛撞破坏掉。</t>
    <phoneticPr fontId="2" type="noConversion"/>
  </si>
  <si>
    <t>连岩浆的热度也感觉不到。</t>
    <phoneticPr fontId="2" type="noConversion"/>
  </si>
  <si>
    <t>相应地也有迟钝之处。</t>
    <phoneticPr fontId="2" type="noConversion"/>
  </si>
  <si>
    <t>变得能仅用后脚站立，</t>
    <phoneticPr fontId="2" type="noConversion"/>
  </si>
  <si>
    <t>头脑也更发达了。</t>
    <phoneticPr fontId="2" type="noConversion"/>
  </si>
  <si>
    <t>厚实的皮肤即使</t>
    <phoneticPr fontId="2" type="noConversion"/>
  </si>
  <si>
    <t>在熔岩之中也安然无恙。</t>
    <phoneticPr fontId="2" type="noConversion"/>
  </si>
  <si>
    <t>不想让自己</t>
    <phoneticPr fontId="2" type="noConversion"/>
  </si>
  <si>
    <t>带着的蛋被打破，</t>
    <phoneticPr fontId="2" type="noConversion"/>
  </si>
  <si>
    <t>走起路来小心谨慎。</t>
    <phoneticPr fontId="2" type="noConversion"/>
  </si>
  <si>
    <t>然而逃跑时却是极为快速。</t>
    <phoneticPr fontId="2" type="noConversion"/>
  </si>
  <si>
    <t>变得难以捕捉。</t>
    <phoneticPr fontId="2" type="noConversion"/>
  </si>
  <si>
    <t>据说会为能够捉到它的</t>
    <phoneticPr fontId="2" type="noConversion"/>
  </si>
  <si>
    <t>训练家带来幸运。</t>
    <phoneticPr fontId="2" type="noConversion"/>
  </si>
  <si>
    <t>所以被缠住后会感觉很痒。</t>
    <phoneticPr fontId="2" type="noConversion"/>
  </si>
  <si>
    <t>能用藤蔓缠住</t>
    <phoneticPr fontId="2" type="noConversion"/>
  </si>
  <si>
    <t>因为数量减少而</t>
    <phoneticPr fontId="2" type="noConversion"/>
  </si>
  <si>
    <t>覆盖全身的蔓藤</t>
    <phoneticPr fontId="2" type="noConversion"/>
  </si>
  <si>
    <t>一直在高频地晃动着</t>
    <phoneticPr fontId="2" type="noConversion"/>
  </si>
  <si>
    <t>对手的神经。</t>
    <phoneticPr fontId="2" type="noConversion"/>
  </si>
  <si>
    <t>来搅乱</t>
    <phoneticPr fontId="2" type="noConversion"/>
  </si>
  <si>
    <t>如果是在安全的地方，</t>
    <phoneticPr fontId="2" type="noConversion"/>
  </si>
  <si>
    <t>孩子就会从腹袋中出来玩。</t>
    <phoneticPr fontId="2" type="noConversion"/>
  </si>
  <si>
    <t>母亲会静静地</t>
    <phoneticPr fontId="2" type="noConversion"/>
  </si>
  <si>
    <t>在旁守护。</t>
    <phoneticPr fontId="2" type="noConversion"/>
  </si>
  <si>
    <t>即使被体型大的</t>
    <phoneticPr fontId="2" type="noConversion"/>
  </si>
  <si>
    <t>对手袭击，</t>
    <phoneticPr fontId="2" type="noConversion"/>
  </si>
  <si>
    <t>也能操控发达的背鳍，</t>
    <phoneticPr fontId="2" type="noConversion"/>
  </si>
  <si>
    <t>在水中自由自在地逃跑。</t>
    <phoneticPr fontId="2" type="noConversion"/>
  </si>
  <si>
    <t>通过快速地摆动</t>
    <phoneticPr fontId="2" type="noConversion"/>
  </si>
  <si>
    <t>发达的大背鳍</t>
    <phoneticPr fontId="2" type="noConversion"/>
  </si>
  <si>
    <t>能做到一边朝着前方</t>
    <phoneticPr fontId="2" type="noConversion"/>
  </si>
  <si>
    <t>一边向后移动。</t>
    <phoneticPr fontId="2" type="noConversion"/>
  </si>
  <si>
    <t>能从鳍的前端</t>
    <phoneticPr fontId="2" type="noConversion"/>
  </si>
  <si>
    <t>分泌出毒。</t>
    <phoneticPr fontId="2" type="noConversion"/>
  </si>
  <si>
    <t>鳍和骨头</t>
    <phoneticPr fontId="2" type="noConversion"/>
  </si>
  <si>
    <t>是好用的中药材。</t>
    <phoneticPr fontId="2" type="noConversion"/>
  </si>
  <si>
    <t>会优雅地摇摆背鳍、</t>
    <phoneticPr fontId="2" type="noConversion"/>
  </si>
  <si>
    <t>胸鳍和尾鳍，</t>
    <phoneticPr fontId="2" type="noConversion"/>
  </si>
  <si>
    <t>所以被称之为</t>
    <phoneticPr fontId="2" type="noConversion"/>
  </si>
  <si>
    <t>水中的舞者。</t>
    <phoneticPr fontId="2" type="noConversion"/>
  </si>
  <si>
    <t>一个劲地逆流而行。</t>
    <phoneticPr fontId="2" type="noConversion"/>
  </si>
  <si>
    <t>聚集到一起，</t>
    <phoneticPr fontId="2" type="noConversion"/>
  </si>
  <si>
    <t>是为了防止</t>
    <phoneticPr fontId="2" type="noConversion"/>
  </si>
  <si>
    <t>产下的卵被水流冲走。</t>
    <phoneticPr fontId="2" type="noConversion"/>
  </si>
  <si>
    <t>只要身体中间</t>
    <phoneticPr fontId="2" type="noConversion"/>
  </si>
  <si>
    <t>发光的核心部分还在，</t>
    <phoneticPr fontId="2" type="noConversion"/>
  </si>
  <si>
    <t>就算身体被切碎</t>
    <phoneticPr fontId="2" type="noConversion"/>
  </si>
  <si>
    <t>也可以再生。</t>
    <phoneticPr fontId="2" type="noConversion"/>
  </si>
  <si>
    <t>到了晚上，</t>
    <phoneticPr fontId="2" type="noConversion"/>
  </si>
  <si>
    <t>身体的中心会以</t>
    <phoneticPr fontId="2" type="noConversion"/>
  </si>
  <si>
    <t>与人类脉搏相同的节奏</t>
    <phoneticPr fontId="2" type="noConversion"/>
  </si>
  <si>
    <t>缓缓地闪烁。</t>
    <phoneticPr fontId="2" type="noConversion"/>
  </si>
  <si>
    <t>身体中间被称为</t>
    <phoneticPr fontId="2" type="noConversion"/>
  </si>
  <si>
    <t>核心的部分，</t>
    <phoneticPr fontId="2" type="noConversion"/>
  </si>
  <si>
    <t>每次看到时都会</t>
    <phoneticPr fontId="2" type="noConversion"/>
  </si>
  <si>
    <t>发出不同颜色的光。</t>
    <phoneticPr fontId="2" type="noConversion"/>
  </si>
  <si>
    <t>无论在什么环境中，</t>
    <phoneticPr fontId="2" type="noConversion"/>
  </si>
  <si>
    <t>一旦长大就会</t>
    <phoneticPr fontId="2" type="noConversion"/>
  </si>
  <si>
    <t>发育出几何图形一样</t>
    <phoneticPr fontId="2" type="noConversion"/>
  </si>
  <si>
    <t>左右对称的身体。</t>
    <phoneticPr fontId="2" type="noConversion"/>
  </si>
  <si>
    <t>天生就擅长表演哑剧。</t>
    <phoneticPr fontId="2" type="noConversion"/>
  </si>
  <si>
    <t>随着成长</t>
    <phoneticPr fontId="2" type="noConversion"/>
  </si>
  <si>
    <t>看不见的东西也能造出来。</t>
    <phoneticPr fontId="2" type="noConversion"/>
  </si>
  <si>
    <t>它的技术会变娴熟，连</t>
    <phoneticPr fontId="2" type="noConversion"/>
  </si>
  <si>
    <t>从指尖发出的</t>
    <phoneticPr fontId="2" type="noConversion"/>
  </si>
  <si>
    <t>神奇波动可以硬化空气，</t>
    <phoneticPr fontId="2" type="noConversion"/>
  </si>
  <si>
    <t>制造出</t>
    <phoneticPr fontId="2" type="noConversion"/>
  </si>
  <si>
    <t>真正的墙壁。</t>
    <phoneticPr fontId="2" type="noConversion"/>
  </si>
  <si>
    <t>会用锋利的镰刀</t>
    <phoneticPr fontId="2" type="noConversion"/>
  </si>
  <si>
    <t>割开草丛前进。</t>
    <phoneticPr fontId="2" type="noConversion"/>
  </si>
  <si>
    <t>因为动作实在太快，</t>
    <phoneticPr fontId="2" type="noConversion"/>
  </si>
  <si>
    <t>眼睛来不及看清。</t>
    <phoneticPr fontId="2" type="noConversion"/>
  </si>
  <si>
    <t>它动起来</t>
    <phoneticPr fontId="2" type="noConversion"/>
  </si>
  <si>
    <t>也只能看到残影。</t>
    <phoneticPr fontId="2" type="noConversion"/>
  </si>
  <si>
    <t>它停下来藏在草丛里</t>
    <phoneticPr fontId="2" type="noConversion"/>
  </si>
  <si>
    <t>也会因为保护色而看不清。</t>
    <phoneticPr fontId="2" type="noConversion"/>
  </si>
  <si>
    <t>而产生差异。</t>
    <phoneticPr fontId="2" type="noConversion"/>
  </si>
  <si>
    <t>虽然也会说出</t>
    <phoneticPr fontId="2" type="noConversion"/>
  </si>
  <si>
    <t>很像人类的语言，</t>
    <phoneticPr fontId="2" type="noConversion"/>
  </si>
  <si>
    <t>但它似乎更喜欢用舞蹈</t>
    <phoneticPr fontId="2" type="noConversion"/>
  </si>
  <si>
    <t>来传达心情。</t>
    <phoneticPr fontId="2" type="noConversion"/>
  </si>
  <si>
    <t>身体表面有电流流动。</t>
    <phoneticPr fontId="2" type="noConversion"/>
  </si>
  <si>
    <t>如果周围很暗，</t>
    <phoneticPr fontId="2" type="noConversion"/>
  </si>
  <si>
    <t>全身就会发出</t>
    <phoneticPr fontId="2" type="noConversion"/>
  </si>
  <si>
    <t>蓝白色的光。</t>
    <phoneticPr fontId="2" type="noConversion"/>
  </si>
  <si>
    <t>全身总是</t>
    <phoneticPr fontId="2" type="noConversion"/>
  </si>
  <si>
    <t>在放电，</t>
    <phoneticPr fontId="2" type="noConversion"/>
  </si>
  <si>
    <t>因此接近它的话，</t>
    <phoneticPr fontId="2" type="noConversion"/>
  </si>
  <si>
    <t>头发就会竖起来。</t>
    <phoneticPr fontId="2" type="noConversion"/>
  </si>
  <si>
    <t>受不了寒冷的地方。</t>
    <phoneticPr fontId="2" type="noConversion"/>
  </si>
  <si>
    <t>它会喷出灼热的火焰</t>
    <phoneticPr fontId="2" type="noConversion"/>
  </si>
  <si>
    <t>来改变周围的环境</t>
    <phoneticPr fontId="2" type="noConversion"/>
  </si>
  <si>
    <t>使其适宜居住。</t>
    <phoneticPr fontId="2" type="noConversion"/>
  </si>
  <si>
    <t>身体的表面</t>
    <phoneticPr fontId="2" type="noConversion"/>
  </si>
  <si>
    <t>产生着</t>
    <phoneticPr fontId="2" type="noConversion"/>
  </si>
  <si>
    <t>像太阳一样的</t>
    <phoneticPr fontId="2" type="noConversion"/>
  </si>
  <si>
    <t>火焰热浪。</t>
    <phoneticPr fontId="2" type="noConversion"/>
  </si>
  <si>
    <t>夜晚会用角挖地</t>
    <phoneticPr fontId="2" type="noConversion"/>
  </si>
  <si>
    <t>然后躺进去睡觉。</t>
    <phoneticPr fontId="2" type="noConversion"/>
  </si>
  <si>
    <t>到清晨就能看到它的</t>
    <phoneticPr fontId="2" type="noConversion"/>
  </si>
  <si>
    <t>皮肤上沾着湿润的土壤。</t>
    <phoneticPr fontId="2" type="noConversion"/>
  </si>
  <si>
    <t>会挥舞着长角。</t>
    <phoneticPr fontId="2" type="noConversion"/>
  </si>
  <si>
    <t>攻击过来。</t>
    <phoneticPr fontId="2" type="noConversion"/>
  </si>
  <si>
    <t>天冷的时候就会</t>
    <phoneticPr fontId="2" type="noConversion"/>
  </si>
  <si>
    <t>躲入森林深处。</t>
    <phoneticPr fontId="2" type="noConversion"/>
  </si>
  <si>
    <t>战斗时</t>
    <phoneticPr fontId="2" type="noConversion"/>
  </si>
  <si>
    <t>会用角互相顶撞。</t>
    <phoneticPr fontId="2" type="noConversion"/>
  </si>
  <si>
    <t>保护群体的强大肯泰罗</t>
    <phoneticPr fontId="2" type="noConversion"/>
  </si>
  <si>
    <t>会以伤痕累累的角为傲。</t>
    <phoneticPr fontId="2" type="noConversion"/>
  </si>
  <si>
    <t>会用３条尾巴</t>
    <phoneticPr fontId="2" type="noConversion"/>
  </si>
  <si>
    <t>抽打自己，</t>
    <phoneticPr fontId="2" type="noConversion"/>
  </si>
  <si>
    <t>提高自己的战意后，</t>
    <phoneticPr fontId="2" type="noConversion"/>
  </si>
  <si>
    <t>就会全速冲撞过来。</t>
    <phoneticPr fontId="2" type="noConversion"/>
  </si>
  <si>
    <t>没力量的</t>
    <phoneticPr fontId="2" type="noConversion"/>
  </si>
  <si>
    <t>可怜宝可梦。</t>
    <phoneticPr fontId="2" type="noConversion"/>
  </si>
  <si>
    <t>即使偶尔跳得比较高，</t>
    <phoneticPr fontId="2" type="noConversion"/>
  </si>
  <si>
    <t>也只能勉强超过2米。</t>
    <phoneticPr fontId="2" type="noConversion"/>
  </si>
  <si>
    <t>总之就是在跳，</t>
    <phoneticPr fontId="2" type="noConversion"/>
  </si>
  <si>
    <t>毫无意义地跳。</t>
    <phoneticPr fontId="2" type="noConversion"/>
  </si>
  <si>
    <t>正在跳的时候会被飞来的</t>
    <phoneticPr fontId="2" type="noConversion"/>
  </si>
  <si>
    <t>大比鸟等宝可梦抓走。</t>
    <phoneticPr fontId="2" type="noConversion"/>
  </si>
  <si>
    <t>它的怒火就不会平息。</t>
    <phoneticPr fontId="2" type="noConversion"/>
  </si>
  <si>
    <t>据说过去</t>
    <phoneticPr fontId="2" type="noConversion"/>
  </si>
  <si>
    <t>每次发生战争的时候，</t>
    <phoneticPr fontId="2" type="noConversion"/>
  </si>
  <si>
    <t>暴鲤龙就会现身，</t>
    <phoneticPr fontId="2" type="noConversion"/>
  </si>
  <si>
    <t>将四处都变成一片火海。</t>
    <phoneticPr fontId="2" type="noConversion"/>
  </si>
  <si>
    <t>有着温柔的心。</t>
    <phoneticPr fontId="2" type="noConversion"/>
  </si>
  <si>
    <t>由于几乎不参与争斗，</t>
    <phoneticPr fontId="2" type="noConversion"/>
  </si>
  <si>
    <t>因此被大量捕捉，</t>
    <phoneticPr fontId="2" type="noConversion"/>
  </si>
  <si>
    <t>数量骤减。</t>
    <phoneticPr fontId="2" type="noConversion"/>
  </si>
  <si>
    <t>会让人坐在自己的背上</t>
    <phoneticPr fontId="2" type="noConversion"/>
  </si>
  <si>
    <t>畅游大海。据说当它</t>
    <phoneticPr fontId="2" type="noConversion"/>
  </si>
  <si>
    <t>心情好的时候，有时还会用</t>
    <phoneticPr fontId="2" type="noConversion"/>
  </si>
  <si>
    <t>悦耳的叫声来唱歌。</t>
    <phoneticPr fontId="2" type="noConversion"/>
  </si>
  <si>
    <t>虽然可以变身得很完美，</t>
    <phoneticPr fontId="2" type="noConversion"/>
  </si>
  <si>
    <t>但一旦被逗笑，</t>
    <phoneticPr fontId="2" type="noConversion"/>
  </si>
  <si>
    <t>就会因松懈</t>
    <phoneticPr fontId="2" type="noConversion"/>
  </si>
  <si>
    <t>而解除变身。</t>
    <phoneticPr fontId="2" type="noConversion"/>
  </si>
  <si>
    <t>伊布拥有</t>
    <phoneticPr fontId="2" type="noConversion"/>
  </si>
  <si>
    <t>能够为了适应周围环境</t>
    <phoneticPr fontId="2" type="noConversion"/>
  </si>
  <si>
    <t>而改变身体构造</t>
    <phoneticPr fontId="2" type="noConversion"/>
  </si>
  <si>
    <t>的能力。</t>
    <phoneticPr fontId="2" type="noConversion"/>
  </si>
  <si>
    <t>形状不规则的基因</t>
    <phoneticPr fontId="2" type="noConversion"/>
  </si>
  <si>
    <t>容易受到影响。</t>
    <phoneticPr fontId="2" type="noConversion"/>
  </si>
  <si>
    <t>环境一旦改变</t>
    <phoneticPr fontId="2" type="noConversion"/>
  </si>
  <si>
    <t>就会进化。</t>
    <phoneticPr fontId="2" type="noConversion"/>
  </si>
  <si>
    <t>它全身上下的鳍，</t>
    <phoneticPr fontId="2" type="noConversion"/>
  </si>
  <si>
    <t>当水伊布开始微微颤动</t>
    <phoneticPr fontId="2" type="noConversion"/>
  </si>
  <si>
    <t>就表示几个小时之后</t>
    <phoneticPr fontId="2" type="noConversion"/>
  </si>
  <si>
    <t>要下雨了。</t>
    <phoneticPr fontId="2" type="noConversion"/>
  </si>
  <si>
    <t>所以也能和水融为一体。</t>
    <phoneticPr fontId="2" type="noConversion"/>
  </si>
  <si>
    <t>便能释放</t>
    <phoneticPr fontId="2" type="noConversion"/>
  </si>
  <si>
    <t>强力的电击。</t>
    <phoneticPr fontId="2" type="noConversion"/>
  </si>
  <si>
    <t>细胞放出的微弱电流</t>
    <phoneticPr fontId="2" type="noConversion"/>
  </si>
  <si>
    <t>如果往体内</t>
    <phoneticPr fontId="2" type="noConversion"/>
  </si>
  <si>
    <t>蓄积电力，</t>
    <phoneticPr fontId="2" type="noConversion"/>
  </si>
  <si>
    <t>全身的所有体毛</t>
    <phoneticPr fontId="2" type="noConversion"/>
  </si>
  <si>
    <t>就会开始变得尖锐起来。</t>
    <phoneticPr fontId="2" type="noConversion"/>
  </si>
  <si>
    <t>会将吸入的</t>
    <phoneticPr fontId="2" type="noConversion"/>
  </si>
  <si>
    <t>空气的一部分</t>
    <phoneticPr fontId="2" type="noConversion"/>
  </si>
  <si>
    <t>传送到自己体内的火囊里，</t>
    <phoneticPr fontId="2" type="noConversion"/>
  </si>
  <si>
    <t>制造出１７００度的火焰。</t>
    <phoneticPr fontId="2" type="noConversion"/>
  </si>
  <si>
    <t>展开颈部</t>
    <phoneticPr fontId="2" type="noConversion"/>
  </si>
  <si>
    <t>蓬松的体毛，</t>
    <phoneticPr fontId="2" type="noConversion"/>
  </si>
  <si>
    <t>使上升到９００度</t>
    <phoneticPr fontId="2" type="noConversion"/>
  </si>
  <si>
    <t>的体温冷却下来。</t>
    <phoneticPr fontId="2" type="noConversion"/>
  </si>
  <si>
    <t>因为不需要呼吸</t>
    <phoneticPr fontId="2" type="noConversion"/>
  </si>
  <si>
    <t>而被期待在任何地方</t>
    <phoneticPr fontId="2" type="noConversion"/>
  </si>
  <si>
    <t>都能大显身手的</t>
    <phoneticPr fontId="2" type="noConversion"/>
  </si>
  <si>
    <t>人工宝可梦。</t>
    <phoneticPr fontId="2" type="noConversion"/>
  </si>
  <si>
    <t>经过研究而诞生出的</t>
    <phoneticPr fontId="2" type="noConversion"/>
  </si>
  <si>
    <t>只被编入了</t>
    <phoneticPr fontId="2" type="noConversion"/>
  </si>
  <si>
    <t>一些基本动作。</t>
    <phoneticPr fontId="2" type="noConversion"/>
  </si>
  <si>
    <t>从古代化石中</t>
    <phoneticPr fontId="2" type="noConversion"/>
  </si>
  <si>
    <t>复活而来。</t>
    <phoneticPr fontId="2" type="noConversion"/>
  </si>
  <si>
    <t>靠着壳里储存的</t>
    <phoneticPr fontId="2" type="noConversion"/>
  </si>
  <si>
    <t>空气在水中沉浮。</t>
    <phoneticPr fontId="2" type="noConversion"/>
  </si>
  <si>
    <t>似乎连</t>
    <phoneticPr fontId="2" type="noConversion"/>
  </si>
  <si>
    <t>缩入壳中的大舌贝</t>
    <phoneticPr fontId="2" type="noConversion"/>
  </si>
  <si>
    <t>也能用尖锐的牙齿破壳</t>
    <phoneticPr fontId="2" type="noConversion"/>
  </si>
  <si>
    <t>然后吸出里面的部分。</t>
    <phoneticPr fontId="2" type="noConversion"/>
  </si>
  <si>
    <t>一旦缠上</t>
    <phoneticPr fontId="2" type="noConversion"/>
  </si>
  <si>
    <t>就绝不会松开。</t>
    <phoneticPr fontId="2" type="noConversion"/>
  </si>
  <si>
    <t>会用锋利的牙齿</t>
    <phoneticPr fontId="2" type="noConversion"/>
  </si>
  <si>
    <t>撕碎并吃掉猎物。</t>
    <phoneticPr fontId="2" type="noConversion"/>
  </si>
  <si>
    <t>偶尔能发现保持</t>
    <phoneticPr fontId="2" type="noConversion"/>
  </si>
  <si>
    <t>化石盔。</t>
    <phoneticPr fontId="2" type="noConversion"/>
  </si>
  <si>
    <t>就这样成为化石的</t>
    <phoneticPr fontId="2" type="noConversion"/>
  </si>
  <si>
    <t>身子藏在海底的姿势，</t>
    <phoneticPr fontId="2" type="noConversion"/>
  </si>
  <si>
    <t>有时会非常罕见地发现</t>
    <phoneticPr fontId="2" type="noConversion"/>
  </si>
  <si>
    <t>在水中移动时，</t>
    <phoneticPr fontId="2" type="noConversion"/>
  </si>
  <si>
    <t>会将手脚折叠变小，</t>
    <phoneticPr fontId="2" type="noConversion"/>
  </si>
  <si>
    <t>并左右晃动甲壳</t>
    <phoneticPr fontId="2" type="noConversion"/>
  </si>
  <si>
    <t>快速游动。</t>
    <phoneticPr fontId="2" type="noConversion"/>
  </si>
  <si>
    <t>会用锋利的镰刀撕裂猎物</t>
    <phoneticPr fontId="2" type="noConversion"/>
  </si>
  <si>
    <t>吸取流出的体液，</t>
    <phoneticPr fontId="2" type="noConversion"/>
  </si>
  <si>
    <t>古代宝可梦。</t>
    <phoneticPr fontId="2" type="noConversion"/>
  </si>
  <si>
    <t>是性格残暴的</t>
    <phoneticPr fontId="2" type="noConversion"/>
  </si>
  <si>
    <t>很久以前的</t>
    <phoneticPr fontId="2" type="noConversion"/>
  </si>
  <si>
    <t>似乎会张开翅膀</t>
    <phoneticPr fontId="2" type="noConversion"/>
  </si>
  <si>
    <t>在空中滑翔。</t>
    <phoneticPr fontId="2" type="noConversion"/>
  </si>
  <si>
    <t>据说是会一边</t>
    <phoneticPr fontId="2" type="noConversion"/>
  </si>
  <si>
    <t>高亢地大叫，</t>
    <phoneticPr fontId="2" type="noConversion"/>
  </si>
  <si>
    <t>凶狠宝可梦。</t>
    <phoneticPr fontId="2" type="noConversion"/>
  </si>
  <si>
    <t>天空的凶狠宝可梦。</t>
    <phoneticPr fontId="2" type="noConversion"/>
  </si>
  <si>
    <t>一边翱翔于古代广袤</t>
    <phoneticPr fontId="2" type="noConversion"/>
  </si>
  <si>
    <t>所发出的声音什么的。</t>
    <phoneticPr fontId="2" type="noConversion"/>
  </si>
  <si>
    <t>胃里的消化液</t>
    <phoneticPr fontId="2" type="noConversion"/>
  </si>
  <si>
    <t>能消化掉任何毒。</t>
    <phoneticPr fontId="2" type="noConversion"/>
  </si>
  <si>
    <t>即使吃了掉在地上的东西</t>
    <phoneticPr fontId="2" type="noConversion"/>
  </si>
  <si>
    <t>也没有问题。</t>
    <phoneticPr fontId="2" type="noConversion"/>
  </si>
  <si>
    <t>传说的鸟宝可梦之一，</t>
    <phoneticPr fontId="2" type="noConversion"/>
  </si>
  <si>
    <t>会一边飞行</t>
    <phoneticPr fontId="2" type="noConversion"/>
  </si>
  <si>
    <t>一边冻结空气中的水分</t>
    <phoneticPr fontId="2" type="noConversion"/>
  </si>
  <si>
    <t>并降下雪花。</t>
    <phoneticPr fontId="2" type="noConversion"/>
  </si>
  <si>
    <t>猛烈的打雷。</t>
    <phoneticPr fontId="2" type="noConversion"/>
  </si>
  <si>
    <t>它就会现身。</t>
    <phoneticPr fontId="2" type="noConversion"/>
  </si>
  <si>
    <t>每次拍动翅膀</t>
    <phoneticPr fontId="2" type="noConversion"/>
  </si>
  <si>
    <t>就有火花闪耀。</t>
    <phoneticPr fontId="2" type="noConversion"/>
  </si>
  <si>
    <t>令目睹者心荡神驰的</t>
    <phoneticPr fontId="2" type="noConversion"/>
  </si>
  <si>
    <t>传说的宝可梦。</t>
    <phoneticPr fontId="2" type="noConversion"/>
  </si>
  <si>
    <t>身体会变得越来越长。</t>
    <phoneticPr fontId="2" type="noConversion"/>
  </si>
  <si>
    <t>在反复蜕皮的成长过程中，</t>
    <phoneticPr fontId="2" type="noConversion"/>
  </si>
  <si>
    <t>出生的时候</t>
    <phoneticPr fontId="2" type="noConversion"/>
  </si>
  <si>
    <t>就已经很大了。</t>
    <phoneticPr fontId="2" type="noConversion"/>
  </si>
  <si>
    <t>该宝可梦体内</t>
    <phoneticPr fontId="2" type="noConversion"/>
  </si>
  <si>
    <t>充满着生命力，</t>
    <phoneticPr fontId="2" type="noConversion"/>
  </si>
  <si>
    <t>身体会随反复蜕皮</t>
    <phoneticPr fontId="2" type="noConversion"/>
  </si>
  <si>
    <t>而不断变大。</t>
    <phoneticPr fontId="2" type="noConversion"/>
  </si>
  <si>
    <t>据说它全身</t>
    <phoneticPr fontId="2" type="noConversion"/>
  </si>
  <si>
    <t>散发出气场时，</t>
    <phoneticPr fontId="2" type="noConversion"/>
  </si>
  <si>
    <t>周围的天气会在</t>
    <phoneticPr fontId="2" type="noConversion"/>
  </si>
  <si>
    <t>转眼间发生突变。</t>
    <phoneticPr fontId="2" type="noConversion"/>
  </si>
  <si>
    <t>天气的能力。</t>
    <phoneticPr fontId="2" type="noConversion"/>
  </si>
  <si>
    <t>据说为了救助</t>
    <phoneticPr fontId="2" type="noConversion"/>
  </si>
  <si>
    <t>在海里溺水的人，</t>
    <phoneticPr fontId="2" type="noConversion"/>
  </si>
  <si>
    <t>它会一直在广阔的</t>
    <phoneticPr fontId="2" type="noConversion"/>
  </si>
  <si>
    <t>海上飞来飞去。</t>
    <phoneticPr fontId="2" type="noConversion"/>
  </si>
  <si>
    <t>海的化身，凭借</t>
    <phoneticPr fontId="2" type="noConversion"/>
  </si>
  <si>
    <t>敦实的体格，即便是</t>
    <phoneticPr fontId="2" type="noConversion"/>
  </si>
  <si>
    <t>狂风暴雨的海上，它也</t>
    <phoneticPr fontId="2" type="noConversion"/>
  </si>
  <si>
    <t>能波澜不惊地随意翱翔。</t>
    <phoneticPr fontId="2" type="noConversion"/>
  </si>
  <si>
    <t>由于战斗能力</t>
    <phoneticPr fontId="2" type="noConversion"/>
  </si>
  <si>
    <t>被提升至极限，</t>
    <phoneticPr fontId="2" type="noConversion"/>
  </si>
  <si>
    <t>因此除了打倒眼前的敌人</t>
    <phoneticPr fontId="2" type="noConversion"/>
  </si>
  <si>
    <t>什么也不会思考。</t>
    <phoneticPr fontId="2" type="noConversion"/>
  </si>
  <si>
    <t>为了能在战斗中</t>
    <phoneticPr fontId="2" type="noConversion"/>
  </si>
  <si>
    <t>能最大限度地发挥力量，</t>
    <phoneticPr fontId="2" type="noConversion"/>
  </si>
  <si>
    <t>平时一直在</t>
    <phoneticPr fontId="2" type="noConversion"/>
  </si>
  <si>
    <t>一动不动地积蓄能量。</t>
    <phoneticPr fontId="2" type="noConversion"/>
  </si>
  <si>
    <t>与想见它的强烈感情，</t>
    <phoneticPr fontId="2" type="noConversion"/>
  </si>
  <si>
    <t>遗传基因中含有</t>
    <phoneticPr fontId="2" type="noConversion"/>
  </si>
  <si>
    <t>所有宝可梦的信息，</t>
    <phoneticPr fontId="2" type="noConversion"/>
  </si>
  <si>
    <t>因此据说它能</t>
    <phoneticPr fontId="2" type="noConversion"/>
  </si>
  <si>
    <t>使用所有的招式。</t>
    <phoneticPr fontId="2" type="noConversion"/>
  </si>
  <si>
    <t>从头上的叶子那里</t>
    <phoneticPr fontId="2" type="noConversion"/>
  </si>
  <si>
    <t>会飘散出淡淡的甜香。</t>
    <phoneticPr fontId="2" type="noConversion"/>
  </si>
  <si>
    <t>性情温和，</t>
    <phoneticPr fontId="2" type="noConversion"/>
  </si>
  <si>
    <t>非常喜欢沐浴阳光。</t>
    <phoneticPr fontId="2" type="noConversion"/>
  </si>
  <si>
    <t>温度的能力。</t>
    <phoneticPr fontId="2" type="noConversion"/>
  </si>
  <si>
    <t>只要闻到</t>
    <phoneticPr fontId="2" type="noConversion"/>
  </si>
  <si>
    <t>从它脖子周围散发出的</t>
    <phoneticPr fontId="2" type="noConversion"/>
  </si>
  <si>
    <t>像香辛料一样的香味，</t>
    <phoneticPr fontId="2" type="noConversion"/>
  </si>
  <si>
    <t>不知为何就会想要对战。</t>
    <phoneticPr fontId="2" type="noConversion"/>
  </si>
  <si>
    <t>好似香辛料般的香味</t>
    <phoneticPr fontId="2" type="noConversion"/>
  </si>
  <si>
    <t>花瓣中</t>
    <phoneticPr fontId="2" type="noConversion"/>
  </si>
  <si>
    <t>散发出的气味里</t>
    <phoneticPr fontId="2" type="noConversion"/>
  </si>
  <si>
    <t>含有能够抚平</t>
    <phoneticPr fontId="2" type="noConversion"/>
  </si>
  <si>
    <t>好斗情绪的成分。</t>
    <phoneticPr fontId="2" type="noConversion"/>
  </si>
  <si>
    <t>大竺葵呼出的</t>
    <phoneticPr fontId="2" type="noConversion"/>
  </si>
  <si>
    <t>气息中蕴含着</t>
    <phoneticPr fontId="2" type="noConversion"/>
  </si>
  <si>
    <t>能让枯萎的草木</t>
    <phoneticPr fontId="2" type="noConversion"/>
  </si>
  <si>
    <t>复苏的力量。</t>
    <phoneticPr fontId="2" type="noConversion"/>
  </si>
  <si>
    <t>胆小怯懦，</t>
    <phoneticPr fontId="2" type="noConversion"/>
  </si>
  <si>
    <t>总是将身体缩成球形。</t>
    <phoneticPr fontId="2" type="noConversion"/>
  </si>
  <si>
    <t>受到袭击时会猛烈燃烧</t>
    <phoneticPr fontId="2" type="noConversion"/>
  </si>
  <si>
    <t>背上的火焰保护自己。</t>
    <phoneticPr fontId="2" type="noConversion"/>
  </si>
  <si>
    <t>平时会将背部蜷起。</t>
    <phoneticPr fontId="2" type="noConversion"/>
  </si>
  <si>
    <t>但当它发怒或受惊时，</t>
    <phoneticPr fontId="2" type="noConversion"/>
  </si>
  <si>
    <t>会从背部</t>
    <phoneticPr fontId="2" type="noConversion"/>
  </si>
  <si>
    <t>喷出火焰。</t>
    <phoneticPr fontId="2" type="noConversion"/>
  </si>
  <si>
    <t>如果它在战斗中背过身去，</t>
    <phoneticPr fontId="2" type="noConversion"/>
  </si>
  <si>
    <t>那就要注意了。</t>
    <phoneticPr fontId="2" type="noConversion"/>
  </si>
  <si>
    <t>火焰发动攻击的前兆。</t>
    <phoneticPr fontId="2" type="noConversion"/>
  </si>
  <si>
    <t>这是它即将用背上的</t>
    <phoneticPr fontId="2" type="noConversion"/>
  </si>
  <si>
    <t>覆盖身体的皮毛</t>
    <phoneticPr fontId="2" type="noConversion"/>
  </si>
  <si>
    <t>绝不会被点燃。</t>
    <phoneticPr fontId="2" type="noConversion"/>
  </si>
  <si>
    <t>受到任何火焰攻击它</t>
    <phoneticPr fontId="2" type="noConversion"/>
  </si>
  <si>
    <t>都能安然无恙。</t>
    <phoneticPr fontId="2" type="noConversion"/>
  </si>
  <si>
    <t>该宝可梦藏有大绝招。</t>
    <phoneticPr fontId="2" type="noConversion"/>
  </si>
  <si>
    <t>因为它发达的颚</t>
    <phoneticPr fontId="2" type="noConversion"/>
  </si>
  <si>
    <t>充满了力量，不管是什么</t>
    <phoneticPr fontId="2" type="noConversion"/>
  </si>
  <si>
    <t>都能咬碎，所以就算是</t>
    <phoneticPr fontId="2" type="noConversion"/>
  </si>
  <si>
    <t>它的训练家也要当心。</t>
    <phoneticPr fontId="2" type="noConversion"/>
  </si>
  <si>
    <t>个子虽小，</t>
    <phoneticPr fontId="2" type="noConversion"/>
  </si>
  <si>
    <t>却是个粗暴的家伙。</t>
    <phoneticPr fontId="2" type="noConversion"/>
  </si>
  <si>
    <t>只要眼前有东西在动，</t>
    <phoneticPr fontId="2" type="noConversion"/>
  </si>
  <si>
    <t>就会上去先咬一口再说。</t>
    <phoneticPr fontId="2" type="noConversion"/>
  </si>
  <si>
    <t>即便牙齿掉了</t>
    <phoneticPr fontId="2" type="noConversion"/>
  </si>
  <si>
    <t>也会不断地重新长出来。</t>
    <phoneticPr fontId="2" type="noConversion"/>
  </si>
  <si>
    <t>嘴里总是长满着</t>
    <phoneticPr fontId="2" type="noConversion"/>
  </si>
  <si>
    <t>４８颗牙齿。</t>
    <phoneticPr fontId="2" type="noConversion"/>
  </si>
  <si>
    <t>一个接一个地重新长出。</t>
    <phoneticPr fontId="2" type="noConversion"/>
  </si>
  <si>
    <t>会用大而有力的</t>
    <phoneticPr fontId="2" type="noConversion"/>
  </si>
  <si>
    <t>颚咬住对手，</t>
    <phoneticPr fontId="2" type="noConversion"/>
  </si>
  <si>
    <t>然后就那样甩动脖子</t>
    <phoneticPr fontId="2" type="noConversion"/>
  </si>
  <si>
    <t>将对手撕得粉碎。</t>
    <phoneticPr fontId="2" type="noConversion"/>
  </si>
  <si>
    <t>所以只能趴着，</t>
    <phoneticPr fontId="2" type="noConversion"/>
  </si>
  <si>
    <t>为了能看清远处的情况，</t>
    <phoneticPr fontId="2" type="noConversion"/>
  </si>
  <si>
    <t>它会用尾巴站立起来。</t>
    <phoneticPr fontId="2" type="noConversion"/>
  </si>
  <si>
    <t>发现敌人后</t>
    <phoneticPr fontId="2" type="noConversion"/>
  </si>
  <si>
    <t>会大声地通知伙伴。</t>
    <phoneticPr fontId="2" type="noConversion"/>
  </si>
  <si>
    <t>会制造出适合</t>
    <phoneticPr fontId="2" type="noConversion"/>
  </si>
  <si>
    <t>细长身形的巢穴，</t>
    <phoneticPr fontId="2" type="noConversion"/>
  </si>
  <si>
    <t>并以此来阻止</t>
    <phoneticPr fontId="2" type="noConversion"/>
  </si>
  <si>
    <t>其他宝可梦进入。</t>
    <phoneticPr fontId="2" type="noConversion"/>
  </si>
  <si>
    <t>不太清楚从哪开始</t>
    <phoneticPr fontId="2" type="noConversion"/>
  </si>
  <si>
    <t>算是尾巴。手脚虽短，</t>
    <phoneticPr fontId="2" type="noConversion"/>
  </si>
  <si>
    <t>但是能灵敏地四处移动</t>
    <phoneticPr fontId="2" type="noConversion"/>
  </si>
  <si>
    <t>来袭击小拉达。</t>
    <phoneticPr fontId="2" type="noConversion"/>
  </si>
  <si>
    <t>一直用单脚站立。</t>
    <phoneticPr fontId="2" type="noConversion"/>
  </si>
  <si>
    <t>由于换脚的瞬间过快，</t>
    <phoneticPr fontId="2" type="noConversion"/>
  </si>
  <si>
    <t>基本上</t>
    <phoneticPr fontId="2" type="noConversion"/>
  </si>
  <si>
    <t>无法看清。</t>
    <phoneticPr fontId="2" type="noConversion"/>
  </si>
  <si>
    <t>双眼有着特殊的构造。</t>
    <phoneticPr fontId="2" type="noConversion"/>
  </si>
  <si>
    <t>只要接收到一点点光线，</t>
    <phoneticPr fontId="2" type="noConversion"/>
  </si>
  <si>
    <t>即使是在黑暗中</t>
    <phoneticPr fontId="2" type="noConversion"/>
  </si>
  <si>
    <t>也能分辨四周的情况。</t>
    <phoneticPr fontId="2" type="noConversion"/>
  </si>
  <si>
    <t>开始思考事情时，</t>
    <phoneticPr fontId="2" type="noConversion"/>
  </si>
  <si>
    <t>会将脖子旋转１８０度，</t>
    <phoneticPr fontId="2" type="noConversion"/>
  </si>
  <si>
    <t>以此提高</t>
    <phoneticPr fontId="2" type="noConversion"/>
  </si>
  <si>
    <t>大脑的工作效率。</t>
    <phoneticPr fontId="2" type="noConversion"/>
  </si>
  <si>
    <t>就会因为不安而动不了，</t>
    <phoneticPr fontId="2" type="noConversion"/>
  </si>
  <si>
    <t>一边翩翩飞过。</t>
    <phoneticPr fontId="2" type="noConversion"/>
  </si>
  <si>
    <t>在猎物上门之前，</t>
    <phoneticPr fontId="2" type="noConversion"/>
  </si>
  <si>
    <t>会在自己的巢穴中</t>
    <phoneticPr fontId="2" type="noConversion"/>
  </si>
  <si>
    <t>好几天保持同一姿势，</t>
    <phoneticPr fontId="2" type="noConversion"/>
  </si>
  <si>
    <t>一动不动地持续等待。</t>
    <phoneticPr fontId="2" type="noConversion"/>
  </si>
  <si>
    <t>在用又细又结实的丝</t>
    <phoneticPr fontId="2" type="noConversion"/>
  </si>
  <si>
    <t>布满陷阱后，</t>
    <phoneticPr fontId="2" type="noConversion"/>
  </si>
  <si>
    <t>就会一直等着</t>
    <phoneticPr fontId="2" type="noConversion"/>
  </si>
  <si>
    <t>猎物落网。</t>
    <phoneticPr fontId="2" type="noConversion"/>
  </si>
  <si>
    <t>不仅会从臀部，</t>
    <phoneticPr fontId="2" type="noConversion"/>
  </si>
  <si>
    <t>还会从口中吐出丝来，</t>
    <phoneticPr fontId="2" type="noConversion"/>
  </si>
  <si>
    <t>所以仅凭眼睛看，</t>
    <phoneticPr fontId="2" type="noConversion"/>
  </si>
  <si>
    <t>无法分清哪边才是头。</t>
    <phoneticPr fontId="2" type="noConversion"/>
  </si>
  <si>
    <t>总会从屁股放出</t>
    <phoneticPr fontId="2" type="noConversion"/>
  </si>
  <si>
    <t>一根特别的丝，</t>
    <phoneticPr fontId="2" type="noConversion"/>
  </si>
  <si>
    <t>沿着这根丝</t>
    <phoneticPr fontId="2" type="noConversion"/>
  </si>
  <si>
    <t>就能到达它的巢。</t>
    <phoneticPr fontId="2" type="noConversion"/>
  </si>
  <si>
    <t>会用增加到２对的翅膀</t>
    <phoneticPr fontId="2" type="noConversion"/>
  </si>
  <si>
    <t>在黑暗中静静飞行。</t>
    <phoneticPr fontId="2" type="noConversion"/>
  </si>
  <si>
    <t>就算它从身旁飞过</t>
    <phoneticPr fontId="2" type="noConversion"/>
  </si>
  <si>
    <t>也不会察觉。</t>
    <phoneticPr fontId="2" type="noConversion"/>
  </si>
  <si>
    <t>因为脚也发育成了翅膀，</t>
    <phoneticPr fontId="2" type="noConversion"/>
  </si>
  <si>
    <t>所以变得能高速飞行了，</t>
    <phoneticPr fontId="2" type="noConversion"/>
  </si>
  <si>
    <t>但是不擅长</t>
    <phoneticPr fontId="2" type="noConversion"/>
  </si>
  <si>
    <t>停下来休息。</t>
    <phoneticPr fontId="2" type="noConversion"/>
  </si>
  <si>
    <t>会从２根</t>
    <phoneticPr fontId="2" type="noConversion"/>
  </si>
  <si>
    <t>触手的前端</t>
    <phoneticPr fontId="2" type="noConversion"/>
  </si>
  <si>
    <t>释放正负电</t>
    <phoneticPr fontId="2" type="noConversion"/>
  </si>
  <si>
    <t>来电麻对手。</t>
    <phoneticPr fontId="2" type="noConversion"/>
  </si>
  <si>
    <t>触手上不断闪烁着的光</t>
    <phoneticPr fontId="2" type="noConversion"/>
  </si>
  <si>
    <t>电灯怪发出的光</t>
    <phoneticPr fontId="2" type="noConversion"/>
  </si>
  <si>
    <t>有着极高的亮度，</t>
    <phoneticPr fontId="2" type="noConversion"/>
  </si>
  <si>
    <t>甚至可以从５０００米</t>
    <phoneticPr fontId="2" type="noConversion"/>
  </si>
  <si>
    <t>深的水底照亮水面。</t>
    <phoneticPr fontId="2" type="noConversion"/>
  </si>
  <si>
    <t>会放出刺眼的亮光</t>
    <phoneticPr fontId="2" type="noConversion"/>
  </si>
  <si>
    <t>眩晕对手，</t>
    <phoneticPr fontId="2" type="noConversion"/>
  </si>
  <si>
    <t>然后趁对手无法动弹时</t>
    <phoneticPr fontId="2" type="noConversion"/>
  </si>
  <si>
    <t>将其整个吞下。</t>
    <phoneticPr fontId="2" type="noConversion"/>
  </si>
  <si>
    <t>仍然不擅长蓄电。</t>
    <phoneticPr fontId="2" type="noConversion"/>
  </si>
  <si>
    <t>惊讶或者发笑时，</t>
    <phoneticPr fontId="2" type="noConversion"/>
  </si>
  <si>
    <t>就会立刻</t>
    <phoneticPr fontId="2" type="noConversion"/>
  </si>
  <si>
    <t>进行放电。</t>
    <phoneticPr fontId="2" type="noConversion"/>
  </si>
  <si>
    <t>身体小巧，却能够释放出</t>
    <phoneticPr fontId="2" type="noConversion"/>
  </si>
  <si>
    <t>足以让成年人麻痹的电击，</t>
    <phoneticPr fontId="2" type="noConversion"/>
  </si>
  <si>
    <t>但是连它自己</t>
    <phoneticPr fontId="2" type="noConversion"/>
  </si>
  <si>
    <t>也会吓一跳。</t>
    <phoneticPr fontId="2" type="noConversion"/>
  </si>
  <si>
    <t>有着星星一样的轮廓。</t>
    <phoneticPr fontId="2" type="noConversion"/>
  </si>
  <si>
    <t>由于那外形，</t>
    <phoneticPr fontId="2" type="noConversion"/>
  </si>
  <si>
    <t>人们相信它是</t>
    <phoneticPr fontId="2" type="noConversion"/>
  </si>
  <si>
    <t>乘着流星而来的。</t>
    <phoneticPr fontId="2" type="noConversion"/>
  </si>
  <si>
    <t>身体非常的柔软。</t>
    <phoneticPr fontId="2" type="noConversion"/>
  </si>
  <si>
    <t>一旦滚起来后</t>
    <phoneticPr fontId="2" type="noConversion"/>
  </si>
  <si>
    <t>就会弹来弹去，</t>
    <phoneticPr fontId="2" type="noConversion"/>
  </si>
  <si>
    <t>完全停不下来。</t>
    <phoneticPr fontId="2" type="noConversion"/>
  </si>
  <si>
    <t>身体富含</t>
    <phoneticPr fontId="2" type="noConversion"/>
  </si>
  <si>
    <t>弹性的宝可梦，</t>
    <phoneticPr fontId="2" type="noConversion"/>
  </si>
  <si>
    <t>不论在哪不论什么时候</t>
    <phoneticPr fontId="2" type="noConversion"/>
  </si>
  <si>
    <t>都在弹跳。</t>
    <phoneticPr fontId="2" type="noConversion"/>
  </si>
  <si>
    <t>壳内好像塞满了</t>
    <phoneticPr fontId="2" type="noConversion"/>
  </si>
  <si>
    <t>很多幸福，</t>
    <phoneticPr fontId="2" type="noConversion"/>
  </si>
  <si>
    <t>据说如果能温柔对待它，</t>
    <phoneticPr fontId="2" type="noConversion"/>
  </si>
  <si>
    <t>它就会把幸运分给对方。</t>
    <phoneticPr fontId="2" type="noConversion"/>
  </si>
  <si>
    <t>有传言说，</t>
    <phoneticPr fontId="2" type="noConversion"/>
  </si>
  <si>
    <t>若是能让睡着的波克比</t>
    <phoneticPr fontId="2" type="noConversion"/>
  </si>
  <si>
    <t>好好站起来的话，</t>
    <phoneticPr fontId="2" type="noConversion"/>
  </si>
  <si>
    <t>就能变得幸福。</t>
    <phoneticPr fontId="2" type="noConversion"/>
  </si>
  <si>
    <t>带给性格温柔的人</t>
    <phoneticPr fontId="2" type="noConversion"/>
  </si>
  <si>
    <t>而现身的。</t>
    <phoneticPr fontId="2" type="noConversion"/>
  </si>
  <si>
    <t>为了将幸福</t>
    <phoneticPr fontId="2" type="noConversion"/>
  </si>
  <si>
    <t>据说它是</t>
    <phoneticPr fontId="2" type="noConversion"/>
  </si>
  <si>
    <t>不待在温柔的人身边</t>
    <phoneticPr fontId="2" type="noConversion"/>
  </si>
  <si>
    <t>就会变得没有精神。</t>
    <phoneticPr fontId="2" type="noConversion"/>
  </si>
  <si>
    <t>不挥动翅膀</t>
    <phoneticPr fontId="2" type="noConversion"/>
  </si>
  <si>
    <t>也能浮在空中。</t>
    <phoneticPr fontId="2" type="noConversion"/>
  </si>
  <si>
    <t>由于羽翼未丰，</t>
    <phoneticPr fontId="2" type="noConversion"/>
  </si>
  <si>
    <t>所以会跳着移动。</t>
    <phoneticPr fontId="2" type="noConversion"/>
  </si>
  <si>
    <t>一直在</t>
    <phoneticPr fontId="2" type="noConversion"/>
  </si>
  <si>
    <t>注视着什么。</t>
    <phoneticPr fontId="2" type="noConversion"/>
  </si>
  <si>
    <t>虽然平时都在</t>
    <phoneticPr fontId="2" type="noConversion"/>
  </si>
  <si>
    <t>地上寻找食物，</t>
    <phoneticPr fontId="2" type="noConversion"/>
  </si>
  <si>
    <t>但极偶尔也会</t>
    <phoneticPr fontId="2" type="noConversion"/>
  </si>
  <si>
    <t>跳上树枝啄食树芽。</t>
    <phoneticPr fontId="2" type="noConversion"/>
  </si>
  <si>
    <t>人们相信它之所以会几乎</t>
    <phoneticPr fontId="2" type="noConversion"/>
  </si>
  <si>
    <t>一动不动，也不鸣叫，</t>
    <phoneticPr fontId="2" type="noConversion"/>
  </si>
  <si>
    <t>就那么呆着，是因为</t>
    <phoneticPr fontId="2" type="noConversion"/>
  </si>
  <si>
    <t>它在注视着过去和未来。</t>
    <phoneticPr fontId="2" type="noConversion"/>
  </si>
  <si>
    <t>它的右眼一直看着未来，</t>
    <phoneticPr fontId="2" type="noConversion"/>
  </si>
  <si>
    <t>左眼一直看着过去。</t>
    <phoneticPr fontId="2" type="noConversion"/>
  </si>
  <si>
    <t>体毛会不断变长。</t>
    <phoneticPr fontId="2" type="noConversion"/>
  </si>
  <si>
    <t>即使到了夏天会全部掉光，</t>
    <phoneticPr fontId="2" type="noConversion"/>
  </si>
  <si>
    <t>也会在１周后</t>
    <phoneticPr fontId="2" type="noConversion"/>
  </si>
  <si>
    <t>恢复原样。</t>
    <phoneticPr fontId="2" type="noConversion"/>
  </si>
  <si>
    <t>连绒毛都长不出来了。</t>
    <phoneticPr fontId="2" type="noConversion"/>
  </si>
  <si>
    <t>松软的体毛</t>
    <phoneticPr fontId="2" type="noConversion"/>
  </si>
  <si>
    <t>易于蓄电，</t>
    <phoneticPr fontId="2" type="noConversion"/>
  </si>
  <si>
    <t>不过多亏有橡胶般的</t>
    <phoneticPr fontId="2" type="noConversion"/>
  </si>
  <si>
    <t>皮肤才没有电麻自己。</t>
    <phoneticPr fontId="2" type="noConversion"/>
  </si>
  <si>
    <t>尾巴的前端</t>
    <phoneticPr fontId="2" type="noConversion"/>
  </si>
  <si>
    <t>闪耀着光芒。</t>
    <phoneticPr fontId="2" type="noConversion"/>
  </si>
  <si>
    <t>这光能传播到很远的地方，</t>
    <phoneticPr fontId="2" type="noConversion"/>
  </si>
  <si>
    <t>成为迷途者的路标。</t>
    <phoneticPr fontId="2" type="noConversion"/>
  </si>
  <si>
    <t>尾巴上的光</t>
    <phoneticPr fontId="2" type="noConversion"/>
  </si>
  <si>
    <t>能传到远处，</t>
    <phoneticPr fontId="2" type="noConversion"/>
  </si>
  <si>
    <t>因此从很早以前就被</t>
    <phoneticPr fontId="2" type="noConversion"/>
  </si>
  <si>
    <t>当作篝火而受到重视。</t>
    <phoneticPr fontId="2" type="noConversion"/>
  </si>
  <si>
    <t>发出悦耳的声音。</t>
    <phoneticPr fontId="2" type="noConversion"/>
  </si>
  <si>
    <t>尾巴前端贮满了</t>
    <phoneticPr fontId="2" type="noConversion"/>
  </si>
  <si>
    <t>比水还轻的油，</t>
    <phoneticPr fontId="2" type="noConversion"/>
  </si>
  <si>
    <t>所以在河流中前进时</t>
    <phoneticPr fontId="2" type="noConversion"/>
  </si>
  <si>
    <t>绝不会溺水。</t>
    <phoneticPr fontId="2" type="noConversion"/>
  </si>
  <si>
    <t>能起到浮囊的作用，</t>
    <phoneticPr fontId="2" type="noConversion"/>
  </si>
  <si>
    <t>因此即使在湍急的河流中</t>
    <phoneticPr fontId="2" type="noConversion"/>
  </si>
  <si>
    <t>也不会发生溺水什么的。</t>
    <phoneticPr fontId="2" type="noConversion"/>
  </si>
  <si>
    <t>有些什么。</t>
    <phoneticPr fontId="2" type="noConversion"/>
  </si>
  <si>
    <t>当它玩水的时候，</t>
    <phoneticPr fontId="2" type="noConversion"/>
  </si>
  <si>
    <t>为了避免进水，</t>
    <phoneticPr fontId="2" type="noConversion"/>
  </si>
  <si>
    <t>会把长长的耳朵</t>
    <phoneticPr fontId="2" type="noConversion"/>
  </si>
  <si>
    <t>卷起来。</t>
    <phoneticPr fontId="2" type="noConversion"/>
  </si>
  <si>
    <t>总是伪装成树的样子。</t>
    <phoneticPr fontId="2" type="noConversion"/>
  </si>
  <si>
    <t>身体构造比起植物来，</t>
    <phoneticPr fontId="2" type="noConversion"/>
  </si>
  <si>
    <t>好像更接近石头</t>
    <phoneticPr fontId="2" type="noConversion"/>
  </si>
  <si>
    <t>或岩石一类的东西。</t>
    <phoneticPr fontId="2" type="noConversion"/>
  </si>
  <si>
    <t>为了不被袭击</t>
    <phoneticPr fontId="2" type="noConversion"/>
  </si>
  <si>
    <t>会模仿树的样子。</t>
    <phoneticPr fontId="2" type="noConversion"/>
  </si>
  <si>
    <t>很讨厌水，所以下雨后，</t>
    <phoneticPr fontId="2" type="noConversion"/>
  </si>
  <si>
    <t>不知什么时候就会消失。</t>
    <phoneticPr fontId="2" type="noConversion"/>
  </si>
  <si>
    <t>从各地聚集过来。</t>
    <phoneticPr fontId="2" type="noConversion"/>
  </si>
  <si>
    <t>３只以上的蚊香蛙皇</t>
    <phoneticPr fontId="2" type="noConversion"/>
  </si>
  <si>
    <t>聚在一起后，</t>
    <phoneticPr fontId="2" type="noConversion"/>
  </si>
  <si>
    <t>就一定会用怒吼般的</t>
    <phoneticPr fontId="2" type="noConversion"/>
  </si>
  <si>
    <t>叫声开始合唱。</t>
    <phoneticPr fontId="2" type="noConversion"/>
  </si>
  <si>
    <t>身体十分轻盈。</t>
    <phoneticPr fontId="2" type="noConversion"/>
  </si>
  <si>
    <t>为了不被吹走</t>
    <phoneticPr fontId="2" type="noConversion"/>
  </si>
  <si>
    <t>会牢牢地</t>
    <phoneticPr fontId="2" type="noConversion"/>
  </si>
  <si>
    <t>站稳在地面上。</t>
    <phoneticPr fontId="2" type="noConversion"/>
  </si>
  <si>
    <t>头顶上</t>
    <phoneticPr fontId="2" type="noConversion"/>
  </si>
  <si>
    <t>盛开着的花</t>
    <phoneticPr fontId="2" type="noConversion"/>
  </si>
  <si>
    <t>有着根据气温变化</t>
    <phoneticPr fontId="2" type="noConversion"/>
  </si>
  <si>
    <t>而开合的特性。</t>
    <phoneticPr fontId="2" type="noConversion"/>
  </si>
  <si>
    <t>为了沐浴阳光，</t>
    <phoneticPr fontId="2" type="noConversion"/>
  </si>
  <si>
    <t>不仅会打开花瓣，</t>
    <phoneticPr fontId="2" type="noConversion"/>
  </si>
  <si>
    <t>还会为了更接近太阳</t>
    <phoneticPr fontId="2" type="noConversion"/>
  </si>
  <si>
    <t>而飘在空中。</t>
    <phoneticPr fontId="2" type="noConversion"/>
  </si>
  <si>
    <t>一旦乘上了风，</t>
    <phoneticPr fontId="2" type="noConversion"/>
  </si>
  <si>
    <t>一边被季风吹着飞，</t>
    <phoneticPr fontId="2" type="noConversion"/>
  </si>
  <si>
    <t>一边为了增加子孙后代</t>
    <phoneticPr fontId="2" type="noConversion"/>
  </si>
  <si>
    <t>散播到世界各地。</t>
    <phoneticPr fontId="2" type="noConversion"/>
  </si>
  <si>
    <t>而将棉孢子</t>
    <phoneticPr fontId="2" type="noConversion"/>
  </si>
  <si>
    <t>会仅靠</t>
    <phoneticPr fontId="2" type="noConversion"/>
  </si>
  <si>
    <t>有力的尾巴</t>
    <phoneticPr fontId="2" type="noConversion"/>
  </si>
  <si>
    <t>倒挂在树枝上</t>
    <phoneticPr fontId="2" type="noConversion"/>
  </si>
  <si>
    <t>来支撑身体。</t>
    <phoneticPr fontId="2" type="noConversion"/>
  </si>
  <si>
    <t>生活在高高的树上。</t>
    <phoneticPr fontId="2" type="noConversion"/>
  </si>
  <si>
    <t>在树枝间跳跃移动时，</t>
    <phoneticPr fontId="2" type="noConversion"/>
  </si>
  <si>
    <t>会用尾巴</t>
    <phoneticPr fontId="2" type="noConversion"/>
  </si>
  <si>
    <t>巧妙地保持平衡。</t>
    <phoneticPr fontId="2" type="noConversion"/>
  </si>
  <si>
    <t>会在某日清晨</t>
    <phoneticPr fontId="2" type="noConversion"/>
  </si>
  <si>
    <t>突然从天上掉下来。</t>
    <phoneticPr fontId="2" type="noConversion"/>
  </si>
  <si>
    <t>挥动叶子赶走对方。</t>
    <phoneticPr fontId="2" type="noConversion"/>
  </si>
  <si>
    <t>被烈雀袭击时，会猛烈地</t>
    <phoneticPr fontId="2" type="noConversion"/>
  </si>
  <si>
    <t>仅靠饮用叶子背面</t>
    <phoneticPr fontId="2" type="noConversion"/>
  </si>
  <si>
    <t>储存的朝露生活。</t>
    <phoneticPr fontId="2" type="noConversion"/>
  </si>
  <si>
    <t>据说除此之外</t>
    <phoneticPr fontId="2" type="noConversion"/>
  </si>
  <si>
    <t>什么都不吃。</t>
    <phoneticPr fontId="2" type="noConversion"/>
  </si>
  <si>
    <t>会把阳光变成能量。</t>
    <phoneticPr fontId="2" type="noConversion"/>
  </si>
  <si>
    <t>它就会关上花瓣</t>
    <phoneticPr fontId="2" type="noConversion"/>
  </si>
  <si>
    <t>一直伫立着。</t>
    <phoneticPr fontId="2" type="noConversion"/>
  </si>
  <si>
    <t>白天总是精力充沛，</t>
    <phoneticPr fontId="2" type="noConversion"/>
  </si>
  <si>
    <t>太阳下山天色变暗之后，</t>
    <phoneticPr fontId="2" type="noConversion"/>
  </si>
  <si>
    <t>随心所欲地到处活动，</t>
    <phoneticPr fontId="2" type="noConversion"/>
  </si>
  <si>
    <t>但太阳下山后</t>
    <phoneticPr fontId="2" type="noConversion"/>
  </si>
  <si>
    <t>却一动不动。</t>
    <phoneticPr fontId="2" type="noConversion"/>
  </si>
  <si>
    <t>如果高速挥动翅膀，</t>
    <phoneticPr fontId="2" type="noConversion"/>
  </si>
  <si>
    <t>就会产生冲击波</t>
    <phoneticPr fontId="2" type="noConversion"/>
  </si>
  <si>
    <t>依次震碎</t>
    <phoneticPr fontId="2" type="noConversion"/>
  </si>
  <si>
    <t>周围的玻璃窗。</t>
    <phoneticPr fontId="2" type="noConversion"/>
  </si>
  <si>
    <t>会用大大的双眼</t>
    <phoneticPr fontId="2" type="noConversion"/>
  </si>
  <si>
    <t>３６０度全方位环视</t>
    <phoneticPr fontId="2" type="noConversion"/>
  </si>
  <si>
    <t>来寻找</t>
    <phoneticPr fontId="2" type="noConversion"/>
  </si>
  <si>
    <t>当作食物的虫子。</t>
    <phoneticPr fontId="2" type="noConversion"/>
  </si>
  <si>
    <t>也会来到地上觅食。</t>
    <phoneticPr fontId="2" type="noConversion"/>
  </si>
  <si>
    <t>在地面上</t>
    <phoneticPr fontId="2" type="noConversion"/>
  </si>
  <si>
    <t>四处走动时，</t>
    <phoneticPr fontId="2" type="noConversion"/>
  </si>
  <si>
    <t>会用滑溜溜的毒粘膜</t>
    <phoneticPr fontId="2" type="noConversion"/>
  </si>
  <si>
    <t>覆盖着身体的表面。</t>
    <phoneticPr fontId="2" type="noConversion"/>
  </si>
  <si>
    <t>性格悠闲自得。</t>
    <phoneticPr fontId="2" type="noConversion"/>
  </si>
  <si>
    <t>游动时</t>
    <phoneticPr fontId="2" type="noConversion"/>
  </si>
  <si>
    <t>头总会撞到</t>
    <phoneticPr fontId="2" type="noConversion"/>
  </si>
  <si>
    <t>河底的岩石或船底。</t>
    <phoneticPr fontId="2" type="noConversion"/>
  </si>
  <si>
    <t>随心所欲游动时，</t>
    <phoneticPr fontId="2" type="noConversion"/>
  </si>
  <si>
    <t>头总会</t>
    <phoneticPr fontId="2" type="noConversion"/>
  </si>
  <si>
    <t>撞到船底。</t>
    <phoneticPr fontId="2" type="noConversion"/>
  </si>
  <si>
    <t>会用全身纤细的体毛</t>
    <phoneticPr fontId="2" type="noConversion"/>
  </si>
  <si>
    <t>来感受空气的流动，</t>
    <phoneticPr fontId="2" type="noConversion"/>
  </si>
  <si>
    <t>以此来预测</t>
    <phoneticPr fontId="2" type="noConversion"/>
  </si>
  <si>
    <t>对手的行动。</t>
    <phoneticPr fontId="2" type="noConversion"/>
  </si>
  <si>
    <t>和对手的行动等等。</t>
    <phoneticPr fontId="2" type="noConversion"/>
  </si>
  <si>
    <t>自然地发出光芒。</t>
    <phoneticPr fontId="2" type="noConversion"/>
  </si>
  <si>
    <t>花纹会在天色变暗时</t>
    <phoneticPr fontId="2" type="noConversion"/>
  </si>
  <si>
    <t>害怕，它身上圆圈形的</t>
    <phoneticPr fontId="2" type="noConversion"/>
  </si>
  <si>
    <t>为了使靠近它的家伙感到</t>
    <phoneticPr fontId="2" type="noConversion"/>
  </si>
  <si>
    <t>一旦兴奋起来，</t>
    <phoneticPr fontId="2" type="noConversion"/>
  </si>
  <si>
    <t>就会从全身的毛孔</t>
    <phoneticPr fontId="2" type="noConversion"/>
  </si>
  <si>
    <t>喷出混合了毒素的汗液</t>
    <phoneticPr fontId="2" type="noConversion"/>
  </si>
  <si>
    <t>来保护自身。</t>
    <phoneticPr fontId="2" type="noConversion"/>
  </si>
  <si>
    <t>人们相信晚上看到它</t>
    <phoneticPr fontId="2" type="noConversion"/>
  </si>
  <si>
    <t>就会发生不吉利的事。</t>
    <phoneticPr fontId="2" type="noConversion"/>
  </si>
  <si>
    <t>因此，</t>
    <phoneticPr fontId="2" type="noConversion"/>
  </si>
  <si>
    <t>它是受人忌讳的宝可梦。</t>
    <phoneticPr fontId="2" type="noConversion"/>
  </si>
  <si>
    <t>如果有什么正在追赶它，</t>
    <phoneticPr fontId="2" type="noConversion"/>
  </si>
  <si>
    <t>它就会把对方引诱到</t>
    <phoneticPr fontId="2" type="noConversion"/>
  </si>
  <si>
    <t>黑暗的山路中，</t>
    <phoneticPr fontId="2" type="noConversion"/>
  </si>
  <si>
    <t>使其彻底迷路。</t>
    <phoneticPr fontId="2" type="noConversion"/>
  </si>
  <si>
    <t>有着非凡的</t>
    <phoneticPr fontId="2" type="noConversion"/>
  </si>
  <si>
    <t>智慧和灵感。</t>
    <phoneticPr fontId="2" type="noConversion"/>
  </si>
  <si>
    <t>不论何时都会不慌不忙，</t>
    <phoneticPr fontId="2" type="noConversion"/>
  </si>
  <si>
    <t>一副悠然自得的样子。</t>
    <phoneticPr fontId="2" type="noConversion"/>
  </si>
  <si>
    <t>因被咬时</t>
    <phoneticPr fontId="2" type="noConversion"/>
  </si>
  <si>
    <t>渗入大脑的毒素</t>
    <phoneticPr fontId="2" type="noConversion"/>
  </si>
  <si>
    <t>而令非凡能力觉醒的</t>
    <phoneticPr fontId="2" type="noConversion"/>
  </si>
  <si>
    <t>呆呆兽。</t>
    <phoneticPr fontId="2" type="noConversion"/>
  </si>
  <si>
    <t>喜欢恶作剧，</t>
    <phoneticPr fontId="2" type="noConversion"/>
  </si>
  <si>
    <t>经常在夜晚发出类似</t>
    <phoneticPr fontId="2" type="noConversion"/>
  </si>
  <si>
    <t>人哭喊一样的叫声</t>
    <phoneticPr fontId="2" type="noConversion"/>
  </si>
  <si>
    <t>来吓唬大家。</t>
    <phoneticPr fontId="2" type="noConversion"/>
  </si>
  <si>
    <t>会突然咬住或是</t>
    <phoneticPr fontId="2" type="noConversion"/>
  </si>
  <si>
    <t>拉扯人的头发，</t>
    <phoneticPr fontId="2" type="noConversion"/>
  </si>
  <si>
    <t>的样子来取乐。</t>
    <phoneticPr fontId="2" type="noConversion"/>
  </si>
  <si>
    <t>然后看着对方大吃一惊</t>
    <phoneticPr fontId="2" type="noConversion"/>
  </si>
  <si>
    <t>身体很薄，</t>
    <phoneticPr fontId="2" type="noConversion"/>
  </si>
  <si>
    <t>会一直贴在墙上。</t>
    <phoneticPr fontId="2" type="noConversion"/>
  </si>
  <si>
    <t>它的外形</t>
    <phoneticPr fontId="2" type="noConversion"/>
  </si>
  <si>
    <t>好像有着某种含义。</t>
    <phoneticPr fontId="2" type="noConversion"/>
  </si>
  <si>
    <t>身体形状和以前的石板上</t>
    <phoneticPr fontId="2" type="noConversion"/>
  </si>
  <si>
    <t>记载的文字相似，</t>
    <phoneticPr fontId="2" type="noConversion"/>
  </si>
  <si>
    <t>有传言说</t>
    <phoneticPr fontId="2" type="noConversion"/>
  </si>
  <si>
    <t>二者之间或许有关系。</t>
    <phoneticPr fontId="2" type="noConversion"/>
  </si>
  <si>
    <t>讨厌光和冲击。</t>
    <phoneticPr fontId="2" type="noConversion"/>
  </si>
  <si>
    <t>受到攻击时，</t>
    <phoneticPr fontId="2" type="noConversion"/>
  </si>
  <si>
    <t>身体就会膨胀，</t>
    <phoneticPr fontId="2" type="noConversion"/>
  </si>
  <si>
    <t>反击也会因此变强。</t>
    <phoneticPr fontId="2" type="noConversion"/>
  </si>
  <si>
    <t>为了隐藏漆黑的尾巴</t>
    <phoneticPr fontId="2" type="noConversion"/>
  </si>
  <si>
    <t>尾巴上也有着小小的大脑。</t>
    <phoneticPr fontId="2" type="noConversion"/>
  </si>
  <si>
    <t>如果有谁靠近的话，</t>
    <phoneticPr fontId="2" type="noConversion"/>
  </si>
  <si>
    <t>它就会对其气味产生反应</t>
    <phoneticPr fontId="2" type="noConversion"/>
  </si>
  <si>
    <t>并一口咬过来，需要注意。</t>
    <phoneticPr fontId="2" type="noConversion"/>
  </si>
  <si>
    <t>而擅自一口咬过来。</t>
    <phoneticPr fontId="2" type="noConversion"/>
  </si>
  <si>
    <t>非常喜欢把树皮</t>
    <phoneticPr fontId="2" type="noConversion"/>
  </si>
  <si>
    <t>叠在身上加厚外壳。</t>
    <phoneticPr fontId="2" type="noConversion"/>
  </si>
  <si>
    <t>就算变重了</t>
    <phoneticPr fontId="2" type="noConversion"/>
  </si>
  <si>
    <t>也不会在意。</t>
    <phoneticPr fontId="2" type="noConversion"/>
  </si>
  <si>
    <t>全身包裹着</t>
    <phoneticPr fontId="2" type="noConversion"/>
  </si>
  <si>
    <t>如钢铁般坚硬的壳。</t>
    <phoneticPr fontId="2" type="noConversion"/>
  </si>
  <si>
    <t>内部的真面目</t>
    <phoneticPr fontId="2" type="noConversion"/>
  </si>
  <si>
    <t>无人知晓。</t>
    <phoneticPr fontId="2" type="noConversion"/>
  </si>
  <si>
    <t>紧紧贴在树上</t>
    <phoneticPr fontId="2" type="noConversion"/>
  </si>
  <si>
    <t>一动不动。</t>
    <phoneticPr fontId="2" type="noConversion"/>
  </si>
  <si>
    <t>会撒出坚硬的外壳碎片</t>
    <phoneticPr fontId="2" type="noConversion"/>
  </si>
  <si>
    <t>赶走接近者。</t>
    <phoneticPr fontId="2" type="noConversion"/>
  </si>
  <si>
    <t>向后逃走。</t>
    <phoneticPr fontId="2" type="noConversion"/>
  </si>
  <si>
    <t>一旦被谁看见了</t>
    <phoneticPr fontId="2" type="noConversion"/>
  </si>
  <si>
    <t>它的身影，</t>
    <phoneticPr fontId="2" type="noConversion"/>
  </si>
  <si>
    <t>就会用尾巴挖洞逃走。</t>
    <phoneticPr fontId="2" type="noConversion"/>
  </si>
  <si>
    <t>能用翅膀稍微浮在空中。</t>
    <phoneticPr fontId="2" type="noConversion"/>
  </si>
  <si>
    <t>平时会贴在峭壁上。</t>
    <phoneticPr fontId="2" type="noConversion"/>
  </si>
  <si>
    <t>发现猎物后，</t>
    <phoneticPr fontId="2" type="noConversion"/>
  </si>
  <si>
    <t>就会张开翅膀</t>
    <phoneticPr fontId="2" type="noConversion"/>
  </si>
  <si>
    <t>乘风猛扑过去。</t>
    <phoneticPr fontId="2" type="noConversion"/>
  </si>
  <si>
    <t>经过压缩的身体</t>
    <phoneticPr fontId="2" type="noConversion"/>
  </si>
  <si>
    <t>据说当大岩蛇</t>
    <phoneticPr fontId="2" type="noConversion"/>
  </si>
  <si>
    <t>活到了１００年以上，</t>
    <phoneticPr fontId="2" type="noConversion"/>
  </si>
  <si>
    <t>身体的成分就会</t>
    <phoneticPr fontId="2" type="noConversion"/>
  </si>
  <si>
    <t>变得如同钻石一般。</t>
    <phoneticPr fontId="2" type="noConversion"/>
  </si>
  <si>
    <t>虽然面相可怕，</t>
    <phoneticPr fontId="2" type="noConversion"/>
  </si>
  <si>
    <t>但是心地非常善良，</t>
    <phoneticPr fontId="2" type="noConversion"/>
  </si>
  <si>
    <t>在女性之中也十分</t>
    <phoneticPr fontId="2" type="noConversion"/>
  </si>
  <si>
    <t>受欢迎的宝可梦。</t>
    <phoneticPr fontId="2" type="noConversion"/>
  </si>
  <si>
    <t>性格活泼爱玩。</t>
    <phoneticPr fontId="2" type="noConversion"/>
  </si>
  <si>
    <t>因为会亲近人，</t>
    <phoneticPr fontId="2" type="noConversion"/>
  </si>
  <si>
    <t>所以也有很多女性</t>
    <phoneticPr fontId="2" type="noConversion"/>
  </si>
  <si>
    <t>喜欢和它一起玩。</t>
    <phoneticPr fontId="2" type="noConversion"/>
  </si>
  <si>
    <t>其实既胆小又怕事。</t>
    <phoneticPr fontId="2" type="noConversion"/>
  </si>
  <si>
    <t>遭到袭击时</t>
    <phoneticPr fontId="2" type="noConversion"/>
  </si>
  <si>
    <t>会拼命挥动手脚</t>
    <phoneticPr fontId="2" type="noConversion"/>
  </si>
  <si>
    <t>来试图赶走敌人。</t>
    <phoneticPr fontId="2" type="noConversion"/>
  </si>
  <si>
    <t>因为牙齿太过沉重，</t>
    <phoneticPr fontId="2" type="noConversion"/>
  </si>
  <si>
    <t>所以一直都会歪着头。</t>
    <phoneticPr fontId="2" type="noConversion"/>
  </si>
  <si>
    <t>咬住强而有力。</t>
    <phoneticPr fontId="2" type="noConversion"/>
  </si>
  <si>
    <t>不过它的</t>
    <phoneticPr fontId="2" type="noConversion"/>
  </si>
  <si>
    <t>来让身体膨胀起来。</t>
    <phoneticPr fontId="2" type="noConversion"/>
  </si>
  <si>
    <t>全身上下的小针</t>
    <phoneticPr fontId="2" type="noConversion"/>
  </si>
  <si>
    <t>都是由鳞片变化而来的。</t>
    <phoneticPr fontId="2" type="noConversion"/>
  </si>
  <si>
    <t>如果被刺中的话，</t>
    <phoneticPr fontId="2" type="noConversion"/>
  </si>
  <si>
    <t>就会因中毒而昏迷。</t>
    <phoneticPr fontId="2" type="noConversion"/>
  </si>
  <si>
    <t>当它举起带有眼珠花纹</t>
    <phoneticPr fontId="2" type="noConversion"/>
  </si>
  <si>
    <t>的钳子威吓对手时，</t>
    <phoneticPr fontId="2" type="noConversion"/>
  </si>
  <si>
    <t>看起来就像是</t>
    <phoneticPr fontId="2" type="noConversion"/>
  </si>
  <si>
    <t>拥有３颗头一样。</t>
    <phoneticPr fontId="2" type="noConversion"/>
  </si>
  <si>
    <t>就算使用翅膀</t>
    <phoneticPr fontId="2" type="noConversion"/>
  </si>
  <si>
    <t>也不能飞，</t>
    <phoneticPr fontId="2" type="noConversion"/>
  </si>
  <si>
    <t>但是能通过高速</t>
    <phoneticPr fontId="2" type="noConversion"/>
  </si>
  <si>
    <t>拍动翅膀来调整体温。</t>
    <phoneticPr fontId="2" type="noConversion"/>
  </si>
  <si>
    <t>据说储存在它那</t>
    <phoneticPr fontId="2" type="noConversion"/>
  </si>
  <si>
    <t>黏糊糊的液体。</t>
    <phoneticPr fontId="2" type="noConversion"/>
  </si>
  <si>
    <t>甲壳里储存着树果。</t>
    <phoneticPr fontId="2" type="noConversion"/>
  </si>
  <si>
    <t>为了避免受到袭击，</t>
    <phoneticPr fontId="2" type="noConversion"/>
  </si>
  <si>
    <t>它会一动不动地</t>
    <phoneticPr fontId="2" type="noConversion"/>
  </si>
  <si>
    <t>躲在岩石下面。</t>
    <phoneticPr fontId="2" type="noConversion"/>
  </si>
  <si>
    <t>然后将其一口气举起</t>
    <phoneticPr fontId="2" type="noConversion"/>
  </si>
  <si>
    <t>并扔出去的大力士。</t>
    <phoneticPr fontId="2" type="noConversion"/>
  </si>
  <si>
    <t>顶入对手的腹部下方，</t>
    <phoneticPr fontId="2" type="noConversion"/>
  </si>
  <si>
    <t>能将引以为豪的角强行</t>
    <phoneticPr fontId="2" type="noConversion"/>
  </si>
  <si>
    <t>虽然平时非常温顺，</t>
    <phoneticPr fontId="2" type="noConversion"/>
  </si>
  <si>
    <t>但是对于</t>
    <phoneticPr fontId="2" type="noConversion"/>
  </si>
  <si>
    <t>妨碍它吸蜜的家伙，</t>
    <phoneticPr fontId="2" type="noConversion"/>
  </si>
  <si>
    <t>会使用角驱赶。</t>
    <phoneticPr fontId="2" type="noConversion"/>
  </si>
  <si>
    <t>手指中藏有锋利的爪子。</t>
    <phoneticPr fontId="2" type="noConversion"/>
  </si>
  <si>
    <t>会突然伸出那利爪，</t>
    <phoneticPr fontId="2" type="noConversion"/>
  </si>
  <si>
    <t>对手心生怯意。</t>
    <phoneticPr fontId="2" type="noConversion"/>
  </si>
  <si>
    <t>让袭击过来的</t>
    <phoneticPr fontId="2" type="noConversion"/>
  </si>
  <si>
    <t>性格凶狠。</t>
    <phoneticPr fontId="2" type="noConversion"/>
  </si>
  <si>
    <t>然后吃掉</t>
    <phoneticPr fontId="2" type="noConversion"/>
  </si>
  <si>
    <t>留在巢里的蛋。</t>
    <phoneticPr fontId="2" type="noConversion"/>
  </si>
  <si>
    <t>找到蜂蜜后，</t>
    <phoneticPr fontId="2" type="noConversion"/>
  </si>
  <si>
    <t>新月花纹就会闪闪发光。</t>
    <phoneticPr fontId="2" type="noConversion"/>
  </si>
  <si>
    <t>一直在舔</t>
    <phoneticPr fontId="2" type="noConversion"/>
  </si>
  <si>
    <t>渗有甜甜蜂蜜的手掌。</t>
    <phoneticPr fontId="2" type="noConversion"/>
  </si>
  <si>
    <t>有着在食物短缺的</t>
    <phoneticPr fontId="2" type="noConversion"/>
  </si>
  <si>
    <t>冬季之前，</t>
    <phoneticPr fontId="2" type="noConversion"/>
  </si>
  <si>
    <t>将食物藏在</t>
    <phoneticPr fontId="2" type="noConversion"/>
  </si>
  <si>
    <t>各处的习性。</t>
    <phoneticPr fontId="2" type="noConversion"/>
  </si>
  <si>
    <t>虽然非常擅长爬树，</t>
    <phoneticPr fontId="2" type="noConversion"/>
  </si>
  <si>
    <t>吃掉下来的树果。</t>
    <phoneticPr fontId="2" type="noConversion"/>
  </si>
  <si>
    <t>大量出现在</t>
    <phoneticPr fontId="2" type="noConversion"/>
  </si>
  <si>
    <t>火山地带。</t>
    <phoneticPr fontId="2" type="noConversion"/>
  </si>
  <si>
    <t>为了寻找温暖的地方，</t>
    <phoneticPr fontId="2" type="noConversion"/>
  </si>
  <si>
    <t>会慢吞吞地爬来爬去。</t>
    <phoneticPr fontId="2" type="noConversion"/>
  </si>
  <si>
    <t>背上的壳只是</t>
    <phoneticPr fontId="2" type="noConversion"/>
  </si>
  <si>
    <t>冷却凝固的皮肤而已。</t>
    <phoneticPr fontId="2" type="noConversion"/>
  </si>
  <si>
    <t>只是碰到点什么</t>
    <phoneticPr fontId="2" type="noConversion"/>
  </si>
  <si>
    <t>就会轻易地崩裂。</t>
    <phoneticPr fontId="2" type="noConversion"/>
  </si>
  <si>
    <t>时不时地喷发出来。</t>
    <phoneticPr fontId="2" type="noConversion"/>
  </si>
  <si>
    <t>由于被长长的</t>
    <phoneticPr fontId="2" type="noConversion"/>
  </si>
  <si>
    <t>体毛所覆盖，</t>
    <phoneticPr fontId="2" type="noConversion"/>
  </si>
  <si>
    <t>所以看不清眼前的情况，</t>
    <phoneticPr fontId="2" type="noConversion"/>
  </si>
  <si>
    <t>只会一个劲地来回猛撞。</t>
    <phoneticPr fontId="2" type="noConversion"/>
  </si>
  <si>
    <t>朝着对手冲过去时，</t>
    <phoneticPr fontId="2" type="noConversion"/>
  </si>
  <si>
    <t>因为头部的前端会不断</t>
    <phoneticPr fontId="2" type="noConversion"/>
  </si>
  <si>
    <t>生长并脱落，而新长出来</t>
    <phoneticPr fontId="2" type="noConversion"/>
  </si>
  <si>
    <t>的头部前端又十分好看，</t>
    <phoneticPr fontId="2" type="noConversion"/>
  </si>
  <si>
    <t>所以作为宝物很受欢迎。</t>
    <phoneticPr fontId="2" type="noConversion"/>
  </si>
  <si>
    <t>会驱赶身为双亲的波波，</t>
    <phoneticPr fontId="2" type="noConversion"/>
  </si>
  <si>
    <t>在南方的</t>
    <phoneticPr fontId="2" type="noConversion"/>
  </si>
  <si>
    <t>海洋国家，</t>
    <phoneticPr fontId="2" type="noConversion"/>
  </si>
  <si>
    <t>人们一直在太阳珊瑚</t>
    <phoneticPr fontId="2" type="noConversion"/>
  </si>
  <si>
    <t>群落的上面生活着。</t>
    <phoneticPr fontId="2" type="noConversion"/>
  </si>
  <si>
    <t>瞄得非常准。</t>
    <phoneticPr fontId="2" type="noConversion"/>
  </si>
  <si>
    <t>喷出的水一定会命中</t>
    <phoneticPr fontId="2" type="noConversion"/>
  </si>
  <si>
    <t>在前方１００米处</t>
    <phoneticPr fontId="2" type="noConversion"/>
  </si>
  <si>
    <t>活动的猎物。</t>
    <phoneticPr fontId="2" type="noConversion"/>
  </si>
  <si>
    <t>会用变成吸盘状的背鳍</t>
    <phoneticPr fontId="2" type="noConversion"/>
  </si>
  <si>
    <t>吸附在巨翅飞鱼身上，</t>
    <phoneticPr fontId="2" type="noConversion"/>
  </si>
  <si>
    <t>让它分一点吃剩的</t>
    <phoneticPr fontId="2" type="noConversion"/>
  </si>
  <si>
    <t>东西给自己吃。</t>
    <phoneticPr fontId="2" type="noConversion"/>
  </si>
  <si>
    <t>有着结实的坚硬脑袋。</t>
    <phoneticPr fontId="2" type="noConversion"/>
  </si>
  <si>
    <t>拥有钻进岩穴</t>
    <phoneticPr fontId="2" type="noConversion"/>
  </si>
  <si>
    <t>习性的宝可梦，</t>
    <phoneticPr fontId="2" type="noConversion"/>
  </si>
  <si>
    <t>一变困就会抢夺</t>
    <phoneticPr fontId="2" type="noConversion"/>
  </si>
  <si>
    <t>其他章鱼桶的巢穴。</t>
    <phoneticPr fontId="2" type="noConversion"/>
  </si>
  <si>
    <t>一整天都在搬运食物。</t>
    <phoneticPr fontId="2" type="noConversion"/>
  </si>
  <si>
    <t>据说曾有遇险的人</t>
    <phoneticPr fontId="2" type="noConversion"/>
  </si>
  <si>
    <t>食物而得救。</t>
    <phoneticPr fontId="2" type="noConversion"/>
  </si>
  <si>
    <t>因为信使鸟的</t>
    <phoneticPr fontId="2" type="noConversion"/>
  </si>
  <si>
    <t>悠然地畅游在大海中。</t>
    <phoneticPr fontId="2" type="noConversion"/>
  </si>
  <si>
    <t>就算有觊觎食物残渣的</t>
    <phoneticPr fontId="2" type="noConversion"/>
  </si>
  <si>
    <t>铁炮鱼吸附在自己身上</t>
    <phoneticPr fontId="2" type="noConversion"/>
  </si>
  <si>
    <t>自由地在广阔的</t>
    <phoneticPr fontId="2" type="noConversion"/>
  </si>
  <si>
    <t>大海里游泳。</t>
    <phoneticPr fontId="2" type="noConversion"/>
  </si>
  <si>
    <t>当速度上来之后，</t>
    <phoneticPr fontId="2" type="noConversion"/>
  </si>
  <si>
    <t>就会直接飞跃到海面上。</t>
    <phoneticPr fontId="2" type="noConversion"/>
  </si>
  <si>
    <t>坚固的翅膀看起来很重，</t>
    <phoneticPr fontId="2" type="noConversion"/>
  </si>
  <si>
    <t>但其实骨头是中空的，</t>
    <phoneticPr fontId="2" type="noConversion"/>
  </si>
  <si>
    <t>所以能轻盈自由地</t>
    <phoneticPr fontId="2" type="noConversion"/>
  </si>
  <si>
    <t>翱翔于高空。</t>
    <phoneticPr fontId="2" type="noConversion"/>
  </si>
  <si>
    <t>在联络伙伴和</t>
    <phoneticPr fontId="2" type="noConversion"/>
  </si>
  <si>
    <t>追赶猎物的时候，</t>
    <phoneticPr fontId="2" type="noConversion"/>
  </si>
  <si>
    <t>会分别发出</t>
    <phoneticPr fontId="2" type="noConversion"/>
  </si>
  <si>
    <t>不同种类的叫声。</t>
    <phoneticPr fontId="2" type="noConversion"/>
  </si>
  <si>
    <t>会用只有伙伴</t>
    <phoneticPr fontId="2" type="noConversion"/>
  </si>
  <si>
    <t>才能理解的叫声</t>
    <phoneticPr fontId="2" type="noConversion"/>
  </si>
  <si>
    <t>一边确定各自的位置</t>
    <phoneticPr fontId="2" type="noConversion"/>
  </si>
  <si>
    <t>一边猛追猎物。</t>
    <phoneticPr fontId="2" type="noConversion"/>
  </si>
  <si>
    <t>如果被它口中喷出的</t>
    <phoneticPr fontId="2" type="noConversion"/>
  </si>
  <si>
    <t>火焰所灼伤，</t>
    <phoneticPr fontId="2" type="noConversion"/>
  </si>
  <si>
    <t>那伤口无论过多久</t>
    <phoneticPr fontId="2" type="noConversion"/>
  </si>
  <si>
    <t>都会疼痛。</t>
    <phoneticPr fontId="2" type="noConversion"/>
  </si>
  <si>
    <t>听到它恐怖的长嚎后，</t>
    <phoneticPr fontId="2" type="noConversion"/>
  </si>
  <si>
    <t>宝可梦会浑身发抖，</t>
    <phoneticPr fontId="2" type="noConversion"/>
  </si>
  <si>
    <t>一溜烟地</t>
    <phoneticPr fontId="2" type="noConversion"/>
  </si>
  <si>
    <t>回到自己的巢里。</t>
    <phoneticPr fontId="2" type="noConversion"/>
  </si>
  <si>
    <t>平时好像会隐藏</t>
    <phoneticPr fontId="2" type="noConversion"/>
  </si>
  <si>
    <t>在海底洞穴中。</t>
    <phoneticPr fontId="2" type="noConversion"/>
  </si>
  <si>
    <t>打个哈欠就会</t>
    <phoneticPr fontId="2" type="noConversion"/>
  </si>
  <si>
    <t>引发潮旋。</t>
    <phoneticPr fontId="2" type="noConversion"/>
  </si>
  <si>
    <t>似乎会为了积蓄力量</t>
    <phoneticPr fontId="2" type="noConversion"/>
  </si>
  <si>
    <t>而在深深的海底沉睡。</t>
    <phoneticPr fontId="2" type="noConversion"/>
  </si>
  <si>
    <t>据说醒来时</t>
    <phoneticPr fontId="2" type="noConversion"/>
  </si>
  <si>
    <t>会刮起龙卷风。</t>
    <phoneticPr fontId="2" type="noConversion"/>
  </si>
  <si>
    <t>为了表达爱意</t>
    <phoneticPr fontId="2" type="noConversion"/>
  </si>
  <si>
    <t>会用鼻子撞过来，</t>
    <phoneticPr fontId="2" type="noConversion"/>
  </si>
  <si>
    <t>但因为力道太大，</t>
    <phoneticPr fontId="2" type="noConversion"/>
  </si>
  <si>
    <t>一不小心就会被它撞飞。</t>
    <phoneticPr fontId="2" type="noConversion"/>
  </si>
  <si>
    <t>但是因为力道相当大，</t>
    <phoneticPr fontId="2" type="noConversion"/>
  </si>
  <si>
    <t>它会用鼻子撞过来，</t>
    <phoneticPr fontId="2" type="noConversion"/>
  </si>
  <si>
    <t>出于嬉闹的念头，</t>
    <phoneticPr fontId="2" type="noConversion"/>
  </si>
  <si>
    <t>牙齿又尖又硬，</t>
    <phoneticPr fontId="2" type="noConversion"/>
  </si>
  <si>
    <t>而且还有着结实的皮肤，</t>
    <phoneticPr fontId="2" type="noConversion"/>
  </si>
  <si>
    <t>所以它的撞击</t>
    <phoneticPr fontId="2" type="noConversion"/>
  </si>
  <si>
    <t>连房子都能撞毁。</t>
    <phoneticPr fontId="2" type="noConversion"/>
  </si>
  <si>
    <t>牙齿越长越大，</t>
    <phoneticPr fontId="2" type="noConversion"/>
  </si>
  <si>
    <t>在族群里的地位就越高。</t>
    <phoneticPr fontId="2" type="noConversion"/>
  </si>
  <si>
    <t>牙齿长长</t>
    <phoneticPr fontId="2" type="noConversion"/>
  </si>
  <si>
    <t>需要很多时间。</t>
    <phoneticPr fontId="2" type="noConversion"/>
  </si>
  <si>
    <t>为了能够开发行星</t>
    <phoneticPr fontId="2" type="noConversion"/>
  </si>
  <si>
    <t>而将多边兽升级而成，</t>
    <phoneticPr fontId="2" type="noConversion"/>
  </si>
  <si>
    <t>但连飞上空中</t>
    <phoneticPr fontId="2" type="noConversion"/>
  </si>
  <si>
    <t>都还做不到。</t>
    <phoneticPr fontId="2" type="noConversion"/>
  </si>
  <si>
    <t>随着研究的不断深入，</t>
    <phoneticPr fontId="2" type="noConversion"/>
  </si>
  <si>
    <t>能力得到了提高。</t>
    <phoneticPr fontId="2" type="noConversion"/>
  </si>
  <si>
    <t>有时会展现出</t>
    <phoneticPr fontId="2" type="noConversion"/>
  </si>
  <si>
    <t>程序里没有的行为。</t>
    <phoneticPr fontId="2" type="noConversion"/>
  </si>
  <si>
    <t>角的曲度可以微妙地</t>
    <phoneticPr fontId="2" type="noConversion"/>
  </si>
  <si>
    <t>改变周围空气的流动，</t>
    <phoneticPr fontId="2" type="noConversion"/>
  </si>
  <si>
    <t>制造出一个</t>
    <phoneticPr fontId="2" type="noConversion"/>
  </si>
  <si>
    <t>神奇的空间。</t>
    <phoneticPr fontId="2" type="noConversion"/>
  </si>
  <si>
    <t>一直看着角的形状</t>
    <phoneticPr fontId="2" type="noConversion"/>
  </si>
  <si>
    <t>感觉就会渐渐失灵，</t>
    <phoneticPr fontId="2" type="noConversion"/>
  </si>
  <si>
    <t>然后会变得无法</t>
    <phoneticPr fontId="2" type="noConversion"/>
  </si>
  <si>
    <t>靠自己的力量站立。</t>
    <phoneticPr fontId="2" type="noConversion"/>
  </si>
  <si>
    <t>会把尾巴前端分泌的</t>
    <phoneticPr fontId="2" type="noConversion"/>
  </si>
  <si>
    <t>液体涂得到处都是，</t>
    <phoneticPr fontId="2" type="noConversion"/>
  </si>
  <si>
    <t>以此来宣告</t>
    <phoneticPr fontId="2" type="noConversion"/>
  </si>
  <si>
    <t>自己的领地。</t>
    <phoneticPr fontId="2" type="noConversion"/>
  </si>
  <si>
    <t>有着成年后</t>
    <phoneticPr fontId="2" type="noConversion"/>
  </si>
  <si>
    <t>让伙伴在自己背上</t>
    <phoneticPr fontId="2" type="noConversion"/>
  </si>
  <si>
    <t>画下脚印</t>
    <phoneticPr fontId="2" type="noConversion"/>
  </si>
  <si>
    <t>标记的习性。</t>
    <phoneticPr fontId="2" type="noConversion"/>
  </si>
  <si>
    <t>永远都是精力充沛的样子。</t>
    <phoneticPr fontId="2" type="noConversion"/>
  </si>
  <si>
    <t>不断地站起来迎战对手。</t>
    <phoneticPr fontId="2" type="noConversion"/>
  </si>
  <si>
    <t>输了一次又一次，也会</t>
    <phoneticPr fontId="2" type="noConversion"/>
  </si>
  <si>
    <t>为了变强，就算</t>
    <phoneticPr fontId="2" type="noConversion"/>
  </si>
  <si>
    <t>体型偏小却不可轻视，</t>
    <phoneticPr fontId="2" type="noConversion"/>
  </si>
  <si>
    <t>因为它只要发现合适的对手</t>
    <phoneticPr fontId="2" type="noConversion"/>
  </si>
  <si>
    <t>便会马上扑上去</t>
    <phoneticPr fontId="2" type="noConversion"/>
  </si>
  <si>
    <t>大打出手。</t>
    <phoneticPr fontId="2" type="noConversion"/>
  </si>
  <si>
    <t>如果陶醉于它那如舞蹈般</t>
    <phoneticPr fontId="2" type="noConversion"/>
  </si>
  <si>
    <t>华丽流畅的脚踢招式，</t>
    <phoneticPr fontId="2" type="noConversion"/>
  </si>
  <si>
    <t>就会受到</t>
    <phoneticPr fontId="2" type="noConversion"/>
  </si>
  <si>
    <t>强力一击的问候。</t>
    <phoneticPr fontId="2" type="noConversion"/>
  </si>
  <si>
    <t>会旋转身体</t>
    <phoneticPr fontId="2" type="noConversion"/>
  </si>
  <si>
    <t>使出踢击。</t>
    <phoneticPr fontId="2" type="noConversion"/>
  </si>
  <si>
    <t>当它高速旋转身体时，</t>
    <phoneticPr fontId="2" type="noConversion"/>
  </si>
  <si>
    <t>会直接钻进地底下。</t>
    <phoneticPr fontId="2" type="noConversion"/>
  </si>
  <si>
    <t>嘴唇最为敏感。</t>
    <phoneticPr fontId="2" type="noConversion"/>
  </si>
  <si>
    <t>不管是什么</t>
    <phoneticPr fontId="2" type="noConversion"/>
  </si>
  <si>
    <t>都会先用嘴唇</t>
    <phoneticPr fontId="2" type="noConversion"/>
  </si>
  <si>
    <t>去触碰确认。</t>
    <phoneticPr fontId="2" type="noConversion"/>
  </si>
  <si>
    <t>它会用舒缓的节奏</t>
    <phoneticPr fontId="2" type="noConversion"/>
  </si>
  <si>
    <t>前后摇摆着嘴唇，</t>
    <phoneticPr fontId="2" type="noConversion"/>
  </si>
  <si>
    <t>仿佛一直都在</t>
    <phoneticPr fontId="2" type="noConversion"/>
  </si>
  <si>
    <t>亲吻一般。</t>
    <phoneticPr fontId="2" type="noConversion"/>
  </si>
  <si>
    <t>会一圈圈抡动</t>
    <phoneticPr fontId="2" type="noConversion"/>
  </si>
  <si>
    <t>双臂产生电力，</t>
    <phoneticPr fontId="2" type="noConversion"/>
  </si>
  <si>
    <t>但很快就会感到疲惫，</t>
    <phoneticPr fontId="2" type="noConversion"/>
  </si>
  <si>
    <t>因此只能储存少量电力。</t>
    <phoneticPr fontId="2" type="noConversion"/>
  </si>
  <si>
    <t>不管多么猛烈的暴风雨，</t>
    <phoneticPr fontId="2" type="noConversion"/>
  </si>
  <si>
    <t>只要有雷鸣，</t>
    <phoneticPr fontId="2" type="noConversion"/>
  </si>
  <si>
    <t>就会开心地</t>
    <phoneticPr fontId="2" type="noConversion"/>
  </si>
  <si>
    <t>到处玩耍。</t>
    <phoneticPr fontId="2" type="noConversion"/>
  </si>
  <si>
    <t>每次吸气和</t>
    <phoneticPr fontId="2" type="noConversion"/>
  </si>
  <si>
    <t>呼气的时候，</t>
    <phoneticPr fontId="2" type="noConversion"/>
  </si>
  <si>
    <t>都会从嘴巴和</t>
    <phoneticPr fontId="2" type="noConversion"/>
  </si>
  <si>
    <t>鼻子里冒出火花。</t>
    <phoneticPr fontId="2" type="noConversion"/>
  </si>
  <si>
    <t>能在火山的喷火口发现。</t>
    <phoneticPr fontId="2" type="noConversion"/>
  </si>
  <si>
    <t>其体温可达６００度，</t>
    <phoneticPr fontId="2" type="noConversion"/>
  </si>
  <si>
    <t>所以就算身材小</t>
    <phoneticPr fontId="2" type="noConversion"/>
  </si>
  <si>
    <t>也不能轻视。</t>
    <phoneticPr fontId="2" type="noConversion"/>
  </si>
  <si>
    <t>牛奶里面</t>
    <phoneticPr fontId="2" type="noConversion"/>
  </si>
  <si>
    <t>营养丰富。</t>
    <phoneticPr fontId="2" type="noConversion"/>
  </si>
  <si>
    <t>对老人和病人来说，</t>
    <phoneticPr fontId="2" type="noConversion"/>
  </si>
  <si>
    <t>这是最好的饮料。</t>
    <phoneticPr fontId="2" type="noConversion"/>
  </si>
  <si>
    <t>在哺乳期</t>
    <phoneticPr fontId="2" type="noConversion"/>
  </si>
  <si>
    <t>挤出来的牛奶中，</t>
    <phoneticPr fontId="2" type="noConversion"/>
  </si>
  <si>
    <t>贮存着比平时</t>
    <phoneticPr fontId="2" type="noConversion"/>
  </si>
  <si>
    <t>更多的营养。</t>
    <phoneticPr fontId="2" type="noConversion"/>
  </si>
  <si>
    <t>只要吃下</t>
    <phoneticPr fontId="2" type="noConversion"/>
  </si>
  <si>
    <t>幸福蛋的蛋，</t>
    <phoneticPr fontId="2" type="noConversion"/>
  </si>
  <si>
    <t>哪怕只有一口</t>
    <phoneticPr fontId="2" type="noConversion"/>
  </si>
  <si>
    <t>也会对任何人都温柔和善。</t>
    <phoneticPr fontId="2" type="noConversion"/>
  </si>
  <si>
    <t>性格善良，</t>
    <phoneticPr fontId="2" type="noConversion"/>
  </si>
  <si>
    <t>如果发现了生病的宝可梦，</t>
    <phoneticPr fontId="2" type="noConversion"/>
  </si>
  <si>
    <t>会一直照顾对方</t>
    <phoneticPr fontId="2" type="noConversion"/>
  </si>
  <si>
    <t>直到痊愈。</t>
    <phoneticPr fontId="2" type="noConversion"/>
  </si>
  <si>
    <t>因为背着雨云，所以</t>
    <phoneticPr fontId="2" type="noConversion"/>
  </si>
  <si>
    <t>据说是</t>
    <phoneticPr fontId="2" type="noConversion"/>
  </si>
  <si>
    <t>无论何时都能释放雷电。</t>
    <phoneticPr fontId="2" type="noConversion"/>
  </si>
  <si>
    <t>一同降临的宝可梦。</t>
    <phoneticPr fontId="2" type="noConversion"/>
  </si>
  <si>
    <t>据说是和雷电</t>
    <phoneticPr fontId="2" type="noConversion"/>
  </si>
  <si>
    <t>一边以天雷落地时一样的</t>
    <phoneticPr fontId="2" type="noConversion"/>
  </si>
  <si>
    <t>叫声吼叫着，</t>
    <phoneticPr fontId="2" type="noConversion"/>
  </si>
  <si>
    <t>一边在大地上</t>
    <phoneticPr fontId="2" type="noConversion"/>
  </si>
  <si>
    <t>四处奔跑的宝可梦。</t>
    <phoneticPr fontId="2" type="noConversion"/>
  </si>
  <si>
    <t>一吼叫火山就会喷发。</t>
    <phoneticPr fontId="2" type="noConversion"/>
  </si>
  <si>
    <t>因此在每一条</t>
    <phoneticPr fontId="2" type="noConversion"/>
  </si>
  <si>
    <t>道路上来回奔跑。</t>
    <phoneticPr fontId="2" type="noConversion"/>
  </si>
  <si>
    <t>据传是每次新火山形成时</t>
    <phoneticPr fontId="2" type="noConversion"/>
  </si>
  <si>
    <t>都会出生的，</t>
    <phoneticPr fontId="2" type="noConversion"/>
  </si>
  <si>
    <t>会在大地上</t>
    <phoneticPr fontId="2" type="noConversion"/>
  </si>
  <si>
    <t>拥有瞬间净化</t>
    <phoneticPr fontId="2" type="noConversion"/>
  </si>
  <si>
    <t>肮脏浑水的力量。</t>
    <phoneticPr fontId="2" type="noConversion"/>
  </si>
  <si>
    <t>北风的化身。</t>
    <phoneticPr fontId="2" type="noConversion"/>
  </si>
  <si>
    <t>不知为何会刮起北风，</t>
    <phoneticPr fontId="2" type="noConversion"/>
  </si>
  <si>
    <t>以吃土为生。</t>
    <phoneticPr fontId="2" type="noConversion"/>
  </si>
  <si>
    <t>吃掉一座大山后，</t>
    <phoneticPr fontId="2" type="noConversion"/>
  </si>
  <si>
    <t>就会为了成长</t>
    <phoneticPr fontId="2" type="noConversion"/>
  </si>
  <si>
    <t>而开始沉睡。</t>
    <phoneticPr fontId="2" type="noConversion"/>
  </si>
  <si>
    <t>出生在</t>
    <phoneticPr fontId="2" type="noConversion"/>
  </si>
  <si>
    <t>地下深处。</t>
    <phoneticPr fontId="2" type="noConversion"/>
  </si>
  <si>
    <t>不把周围的泥土吃光，</t>
    <phoneticPr fontId="2" type="noConversion"/>
  </si>
  <si>
    <t>就无法到地面上来。</t>
    <phoneticPr fontId="2" type="noConversion"/>
  </si>
  <si>
    <t>虽然全身覆盖着</t>
    <phoneticPr fontId="2" type="noConversion"/>
  </si>
  <si>
    <t>岩盘一样的硬壳，</t>
    <phoneticPr fontId="2" type="noConversion"/>
  </si>
  <si>
    <t>但它力量强大，</t>
    <phoneticPr fontId="2" type="noConversion"/>
  </si>
  <si>
    <t>发狂后连山都会崩塌。</t>
    <phoneticPr fontId="2" type="noConversion"/>
  </si>
  <si>
    <t>被外壳覆盖，但能</t>
    <phoneticPr fontId="2" type="noConversion"/>
  </si>
  <si>
    <t>自由自在地跳来跳去。</t>
    <phoneticPr fontId="2" type="noConversion"/>
  </si>
  <si>
    <t>兼具硬度和速度，</t>
    <phoneticPr fontId="2" type="noConversion"/>
  </si>
  <si>
    <t>因此破坏力超群。</t>
    <phoneticPr fontId="2" type="noConversion"/>
  </si>
  <si>
    <t>拥有无论遭到任何攻击</t>
    <phoneticPr fontId="2" type="noConversion"/>
  </si>
  <si>
    <t>都能毫发无伤的身体，</t>
    <phoneticPr fontId="2" type="noConversion"/>
  </si>
  <si>
    <t>因此会不断</t>
    <phoneticPr fontId="2" type="noConversion"/>
  </si>
  <si>
    <t>向对手挑战。</t>
    <phoneticPr fontId="2" type="noConversion"/>
  </si>
  <si>
    <t>力气之大，就连改变自己</t>
    <phoneticPr fontId="2" type="noConversion"/>
  </si>
  <si>
    <t>不顾周遭的感受。</t>
    <phoneticPr fontId="2" type="noConversion"/>
  </si>
  <si>
    <t>过于强大的能力，</t>
    <phoneticPr fontId="2" type="noConversion"/>
  </si>
  <si>
    <t>所以会在深深的海底</t>
    <phoneticPr fontId="2" type="noConversion"/>
  </si>
  <si>
    <t>安静地度过时光。</t>
    <phoneticPr fontId="2" type="noConversion"/>
  </si>
  <si>
    <t>被传为海神</t>
    <phoneticPr fontId="2" type="noConversion"/>
  </si>
  <si>
    <t>相传因为其拥有</t>
    <phoneticPr fontId="2" type="noConversion"/>
  </si>
  <si>
    <t>无法抑制高涨的力量，</t>
    <phoneticPr fontId="2" type="noConversion"/>
  </si>
  <si>
    <t>据说当其现身的时候</t>
    <phoneticPr fontId="2" type="noConversion"/>
  </si>
  <si>
    <t>流传着在暴风雨之夜</t>
    <phoneticPr fontId="2" type="noConversion"/>
  </si>
  <si>
    <t>见过其身影的传说。</t>
    <phoneticPr fontId="2" type="noConversion"/>
  </si>
  <si>
    <t>流传于神话中的宝可梦。</t>
    <phoneticPr fontId="2" type="noConversion"/>
  </si>
  <si>
    <t>说其以七彩的绚丽翅膀</t>
    <phoneticPr fontId="2" type="noConversion"/>
  </si>
  <si>
    <t>全世界的天空中。</t>
    <phoneticPr fontId="2" type="noConversion"/>
  </si>
  <si>
    <t>不断地翱翔于</t>
    <phoneticPr fontId="2" type="noConversion"/>
  </si>
  <si>
    <t>飞过的地方会形成彩虹。</t>
    <phoneticPr fontId="2" type="noConversion"/>
  </si>
  <si>
    <t>会穿越时光在各地游荡。</t>
    <phoneticPr fontId="2" type="noConversion"/>
  </si>
  <si>
    <t>据说在时拉比</t>
    <phoneticPr fontId="2" type="noConversion"/>
  </si>
  <si>
    <t>出现过的森林里，</t>
    <phoneticPr fontId="2" type="noConversion"/>
  </si>
  <si>
    <t>草木会生长得非常茂盛。</t>
    <phoneticPr fontId="2" type="noConversion"/>
  </si>
  <si>
    <t>在时拉比身影消失的</t>
    <phoneticPr fontId="2" type="noConversion"/>
  </si>
  <si>
    <t>卡咪龟的壳上长着苔藓，</t>
    <phoneticPr fontId="2" type="noConversion"/>
  </si>
  <si>
    <t>被视为长寿的象征。如果</t>
    <phoneticPr fontId="2" type="noConversion"/>
  </si>
  <si>
    <t>活了非常久了。</t>
    <phoneticPr fontId="2" type="noConversion"/>
  </si>
  <si>
    <t>代表它已经</t>
    <phoneticPr fontId="2" type="noConversion"/>
  </si>
  <si>
    <t>刚出生时柔软的甲壳</t>
    <phoneticPr fontId="2" type="noConversion"/>
  </si>
  <si>
    <t>会马上变得有弹性，</t>
    <phoneticPr fontId="2" type="noConversion"/>
  </si>
  <si>
    <t>戳下来的手指。</t>
    <phoneticPr fontId="2" type="noConversion"/>
  </si>
  <si>
    <t>足以弹开</t>
    <phoneticPr fontId="2" type="noConversion"/>
  </si>
  <si>
    <t>花蜜，然后带回巢穴里。</t>
    <phoneticPr fontId="2" type="noConversion"/>
  </si>
  <si>
    <t>习惯往腿部的细毛上涂满</t>
    <phoneticPr fontId="2" type="noConversion"/>
  </si>
  <si>
    <t>每天都忙着</t>
    <phoneticPr fontId="2" type="noConversion"/>
  </si>
  <si>
    <t>采集花蜜。</t>
    <phoneticPr fontId="2" type="noConversion"/>
  </si>
  <si>
    <t>胸肌</t>
    <phoneticPr fontId="2" type="noConversion"/>
  </si>
  <si>
    <t>非常发达，</t>
    <phoneticPr fontId="2" type="noConversion"/>
  </si>
  <si>
    <t>甚至只用轻轻拍打翅膀</t>
    <phoneticPr fontId="2" type="noConversion"/>
  </si>
  <si>
    <t>就能刮起大风。</t>
    <phoneticPr fontId="2" type="noConversion"/>
  </si>
  <si>
    <t>为了隐藏</t>
    <phoneticPr fontId="2" type="noConversion"/>
  </si>
  <si>
    <t>自己的身体，</t>
    <phoneticPr fontId="2" type="noConversion"/>
  </si>
  <si>
    <t>跑来跑去来卷起烟尘。</t>
    <phoneticPr fontId="2" type="noConversion"/>
  </si>
  <si>
    <t>母亲会将食物嚼碎软化后，</t>
    <phoneticPr fontId="2" type="noConversion"/>
  </si>
  <si>
    <t>在给幼崽</t>
    <phoneticPr fontId="2" type="noConversion"/>
  </si>
  <si>
    <t>喂食时，</t>
    <phoneticPr fontId="2" type="noConversion"/>
  </si>
  <si>
    <t>会产生颜色并分成６根。</t>
    <phoneticPr fontId="2" type="noConversion"/>
  </si>
  <si>
    <t>身体胀大后唱出的摇篮曲</t>
    <phoneticPr fontId="2" type="noConversion"/>
  </si>
  <si>
    <t>会比平时持续的时间更长，</t>
    <phoneticPr fontId="2" type="noConversion"/>
  </si>
  <si>
    <t>绝对会让对方变得</t>
    <phoneticPr fontId="2" type="noConversion"/>
  </si>
  <si>
    <t>总是会从嘴里发出超音波</t>
    <phoneticPr fontId="2" type="noConversion"/>
  </si>
  <si>
    <t>来判断周围是什么情形。</t>
    <phoneticPr fontId="2" type="noConversion"/>
  </si>
  <si>
    <t>正在飞行的</t>
    <phoneticPr fontId="2" type="noConversion"/>
  </si>
  <si>
    <t>时候，</t>
    <phoneticPr fontId="2" type="noConversion"/>
  </si>
  <si>
    <t>比自己更强更大的对手。</t>
    <phoneticPr fontId="2" type="noConversion"/>
  </si>
  <si>
    <t>能毫无畏惧地去对抗</t>
    <phoneticPr fontId="2" type="noConversion"/>
  </si>
  <si>
    <t>非常可靠。</t>
    <phoneticPr fontId="2" type="noConversion"/>
  </si>
  <si>
    <t>性格勇敢</t>
    <phoneticPr fontId="2" type="noConversion"/>
  </si>
  <si>
    <t>甚至可以仅凭自己的脚</t>
    <phoneticPr fontId="2" type="noConversion"/>
  </si>
  <si>
    <t>擅长</t>
    <phoneticPr fontId="2" type="noConversion"/>
  </si>
  <si>
    <t>游泳，</t>
    <phoneticPr fontId="2" type="noConversion"/>
  </si>
  <si>
    <t>在受到袭击前便会迅速地</t>
    <phoneticPr fontId="2" type="noConversion"/>
  </si>
  <si>
    <t>使用瞬间移动离开原地。</t>
    <phoneticPr fontId="2" type="noConversion"/>
  </si>
  <si>
    <t>能察觉</t>
    <phoneticPr fontId="2" type="noConversion"/>
  </si>
  <si>
    <t>攻击的苗头，</t>
    <phoneticPr fontId="2" type="noConversion"/>
  </si>
  <si>
    <t>宝可梦。</t>
    <phoneticPr fontId="2" type="noConversion"/>
  </si>
  <si>
    <t>拥有强大精神力的</t>
    <phoneticPr fontId="2" type="noConversion"/>
  </si>
  <si>
    <t>敏锐，能发出最强的能力。</t>
    <phoneticPr fontId="2" type="noConversion"/>
  </si>
  <si>
    <t>全身的感觉会被磨砺得更</t>
    <phoneticPr fontId="2" type="noConversion"/>
  </si>
  <si>
    <t>闭上双眼，</t>
    <phoneticPr fontId="2" type="noConversion"/>
  </si>
  <si>
    <t>但捕捉猎物时的动作却快到</t>
    <phoneticPr fontId="2" type="noConversion"/>
  </si>
  <si>
    <t>虽然</t>
    <phoneticPr fontId="2" type="noConversion"/>
  </si>
  <si>
    <t>体型瘦弱，</t>
    <phoneticPr fontId="2" type="noConversion"/>
  </si>
  <si>
    <t>４只脚几乎没有碰到地面。</t>
    <phoneticPr fontId="2" type="noConversion"/>
  </si>
  <si>
    <t>在激烈的战斗中脱落，</t>
    <phoneticPr fontId="2" type="noConversion"/>
  </si>
  <si>
    <t>如果咬着自己尾巴的大舌贝</t>
    <phoneticPr fontId="2" type="noConversion"/>
  </si>
  <si>
    <t>它就会变回</t>
    <phoneticPr fontId="2" type="noConversion"/>
  </si>
  <si>
    <t>拥有会被</t>
    <phoneticPr fontId="2" type="noConversion"/>
  </si>
  <si>
    <t>电波吸引的性质，据说</t>
    <phoneticPr fontId="2" type="noConversion"/>
  </si>
  <si>
    <t>如果有人在使用宝可装置，</t>
    <phoneticPr fontId="2" type="noConversion"/>
  </si>
  <si>
    <t>但如果在水下</t>
    <phoneticPr fontId="2" type="noConversion"/>
  </si>
  <si>
    <t>特别喜欢寒冷的大海。虽然</t>
    <phoneticPr fontId="2" type="noConversion"/>
  </si>
  <si>
    <t>在地上不能熟练走路，</t>
    <phoneticPr fontId="2" type="noConversion"/>
  </si>
  <si>
    <t>通过２片贝壳的</t>
    <phoneticPr fontId="2" type="noConversion"/>
  </si>
  <si>
    <t>不断开合来向后方游动。</t>
    <phoneticPr fontId="2" type="noConversion"/>
  </si>
  <si>
    <t>相当快。</t>
    <phoneticPr fontId="2" type="noConversion"/>
  </si>
  <si>
    <t>游动的速度</t>
    <phoneticPr fontId="2" type="noConversion"/>
  </si>
  <si>
    <t>无论是拥有什么样怪力的人</t>
    <phoneticPr fontId="2" type="noConversion"/>
  </si>
  <si>
    <t>一旦它</t>
    <phoneticPr fontId="2" type="noConversion"/>
  </si>
  <si>
    <t>把壳闭上，</t>
    <phoneticPr fontId="2" type="noConversion"/>
  </si>
  <si>
    <t>在地里挖掘前进的声音</t>
    <phoneticPr fontId="2" type="noConversion"/>
  </si>
  <si>
    <t>遥远的地方。</t>
    <phoneticPr fontId="2" type="noConversion"/>
  </si>
  <si>
    <t>会一直响彻</t>
    <phoneticPr fontId="2" type="noConversion"/>
  </si>
  <si>
    <t>它肚子</t>
    <phoneticPr fontId="2" type="noConversion"/>
  </si>
  <si>
    <t>非常饿的时候</t>
    <phoneticPr fontId="2" type="noConversion"/>
  </si>
  <si>
    <t>如果危险逼近，就会从</t>
    <phoneticPr fontId="2" type="noConversion"/>
  </si>
  <si>
    <t>嘴里吐出泡沫包裹全身，</t>
    <phoneticPr fontId="2" type="noConversion"/>
  </si>
  <si>
    <t>看起来更大。</t>
    <phoneticPr fontId="2" type="noConversion"/>
  </si>
  <si>
    <t>让身体</t>
    <phoneticPr fontId="2" type="noConversion"/>
  </si>
  <si>
    <t>抬起变得过于巨大的钳子</t>
    <phoneticPr fontId="2" type="noConversion"/>
  </si>
  <si>
    <t>锁定目标。</t>
    <phoneticPr fontId="2" type="noConversion"/>
  </si>
  <si>
    <t>不能顺利地</t>
    <phoneticPr fontId="2" type="noConversion"/>
  </si>
  <si>
    <t>贮满了会让</t>
    <phoneticPr fontId="2" type="noConversion"/>
  </si>
  <si>
    <t>眼泪、咳嗽、鼻涕水</t>
    <phoneticPr fontId="2" type="noConversion"/>
  </si>
  <si>
    <t>这是一方膨胀另一方</t>
    <phoneticPr fontId="2" type="noConversion"/>
  </si>
  <si>
    <t>就会收缩的双胞胎瓦斯弹。</t>
    <phoneticPr fontId="2" type="noConversion"/>
  </si>
  <si>
    <t>混合着毒瓦斯。</t>
    <phoneticPr fontId="2" type="noConversion"/>
  </si>
  <si>
    <t>它一直在体内</t>
    <phoneticPr fontId="2" type="noConversion"/>
  </si>
  <si>
    <t>宝可梦，</t>
    <phoneticPr fontId="2" type="noConversion"/>
  </si>
  <si>
    <t>拥有结实皮肤的</t>
    <phoneticPr fontId="2" type="noConversion"/>
  </si>
  <si>
    <t>调查它的细胞后发现了</t>
    <phoneticPr fontId="2" type="noConversion"/>
  </si>
  <si>
    <t>墨海马所没有的新基因，</t>
    <phoneticPr fontId="2" type="noConversion"/>
  </si>
  <si>
    <t>成为了话题。</t>
    <phoneticPr fontId="2" type="noConversion"/>
  </si>
  <si>
    <t>这件事</t>
    <phoneticPr fontId="2" type="noConversion"/>
  </si>
  <si>
    <t>到了产卵期，金鱼王</t>
    <phoneticPr fontId="2" type="noConversion"/>
  </si>
  <si>
    <t>就会从各地聚集到一起，</t>
    <phoneticPr fontId="2" type="noConversion"/>
  </si>
  <si>
    <t>会被染红。</t>
    <phoneticPr fontId="2" type="noConversion"/>
  </si>
  <si>
    <t>河水的颜色</t>
    <phoneticPr fontId="2" type="noConversion"/>
  </si>
  <si>
    <t>节奏似乎会根据当时的感情</t>
    <phoneticPr fontId="2" type="noConversion"/>
  </si>
  <si>
    <t>有节奏地</t>
    <phoneticPr fontId="2" type="noConversion"/>
  </si>
  <si>
    <t>扭动着身体。</t>
    <phoneticPr fontId="2" type="noConversion"/>
  </si>
  <si>
    <t>能变身成</t>
    <phoneticPr fontId="2" type="noConversion"/>
  </si>
  <si>
    <t>任何东西。</t>
    <phoneticPr fontId="2" type="noConversion"/>
  </si>
  <si>
    <t>睡觉的时候会通过变身成</t>
    <phoneticPr fontId="2" type="noConversion"/>
  </si>
  <si>
    <t>石头来避免被袭击。</t>
    <phoneticPr fontId="2" type="noConversion"/>
  </si>
  <si>
    <t>其实是打鼾或肚子饿的时候</t>
    <phoneticPr fontId="2" type="noConversion"/>
  </si>
  <si>
    <t>以为是</t>
    <phoneticPr fontId="2" type="noConversion"/>
  </si>
  <si>
    <t>叫声的声音，</t>
    <phoneticPr fontId="2" type="noConversion"/>
  </si>
  <si>
    <t>相传它那仿佛透明一般的</t>
    <phoneticPr fontId="2" type="noConversion"/>
  </si>
  <si>
    <t>美丽翅膀是由冰构成的。</t>
    <phoneticPr fontId="2" type="noConversion"/>
  </si>
  <si>
    <t>传说的</t>
    <phoneticPr fontId="2" type="noConversion"/>
  </si>
  <si>
    <t>鸟宝可梦，</t>
    <phoneticPr fontId="2" type="noConversion"/>
  </si>
  <si>
    <t>拍动闪耀的翅膀就会造成</t>
    <phoneticPr fontId="2" type="noConversion"/>
  </si>
  <si>
    <t>鸟宝可梦之一，</t>
    <phoneticPr fontId="2" type="noConversion"/>
  </si>
  <si>
    <t>据说如果怀有纯洁的心</t>
    <phoneticPr fontId="2" type="noConversion"/>
  </si>
  <si>
    <t>现身。</t>
    <phoneticPr fontId="2" type="noConversion"/>
  </si>
  <si>
    <t>它就会</t>
    <phoneticPr fontId="2" type="noConversion"/>
  </si>
  <si>
    <t>愤怒到</t>
    <phoneticPr fontId="2" type="noConversion"/>
  </si>
  <si>
    <t>极点时，</t>
    <phoneticPr fontId="2" type="noConversion"/>
  </si>
  <si>
    <t>它热得能将碰到的</t>
    <phoneticPr fontId="2" type="noConversion"/>
  </si>
  <si>
    <t>所有东西瞬间点燃。</t>
    <phoneticPr fontId="2" type="noConversion"/>
  </si>
  <si>
    <t>会竖起尾巴稍微</t>
    <phoneticPr fontId="2" type="noConversion"/>
  </si>
  <si>
    <t>观察一会儿远方的情形，</t>
    <phoneticPr fontId="2" type="noConversion"/>
  </si>
  <si>
    <t>是警戒心很强的</t>
    <phoneticPr fontId="2" type="noConversion"/>
  </si>
  <si>
    <t>它会一边抛撒闪亮的粉末，</t>
    <phoneticPr fontId="2" type="noConversion"/>
  </si>
  <si>
    <t>夜空中</t>
    <phoneticPr fontId="2" type="noConversion"/>
  </si>
  <si>
    <t>星光闪烁时，</t>
    <phoneticPr fontId="2" type="noConversion"/>
  </si>
  <si>
    <t>身体里储存了静电后，体毛</t>
    <phoneticPr fontId="2" type="noConversion"/>
  </si>
  <si>
    <t>就会膨胀到平时的2倍。</t>
    <phoneticPr fontId="2" type="noConversion"/>
  </si>
  <si>
    <t>就会触电。</t>
    <phoneticPr fontId="2" type="noConversion"/>
  </si>
  <si>
    <t>一旦触摸</t>
    <phoneticPr fontId="2" type="noConversion"/>
  </si>
  <si>
    <t>造成它身体表面有些部分</t>
    <phoneticPr fontId="2" type="noConversion"/>
  </si>
  <si>
    <t>由于储存了</t>
    <phoneticPr fontId="2" type="noConversion"/>
  </si>
  <si>
    <t>过多电力，</t>
    <phoneticPr fontId="2" type="noConversion"/>
  </si>
  <si>
    <t>有时能看到美丽花聚在一起</t>
    <phoneticPr fontId="2" type="noConversion"/>
  </si>
  <si>
    <t>做着像是跳舞一样的动作。</t>
    <phoneticPr fontId="2" type="noConversion"/>
  </si>
  <si>
    <t>呼唤太阳的仪式。</t>
    <phoneticPr fontId="2" type="noConversion"/>
  </si>
  <si>
    <t>据说这是</t>
    <phoneticPr fontId="2" type="noConversion"/>
  </si>
  <si>
    <t>就能分辨出湍急的河流中</t>
    <phoneticPr fontId="2" type="noConversion"/>
  </si>
  <si>
    <t>只要</t>
    <phoneticPr fontId="2" type="noConversion"/>
  </si>
  <si>
    <t>静静地聆听，</t>
    <phoneticPr fontId="2" type="noConversion"/>
  </si>
  <si>
    <t>蚊香蝌蚪和蚊香君们就会</t>
    <phoneticPr fontId="2" type="noConversion"/>
  </si>
  <si>
    <t>叫声</t>
    <phoneticPr fontId="2" type="noConversion"/>
  </si>
  <si>
    <t>响彻四周后，</t>
    <phoneticPr fontId="2" type="noConversion"/>
  </si>
  <si>
    <t>聚在一起来避免被风吹飞。</t>
    <phoneticPr fontId="2" type="noConversion"/>
  </si>
  <si>
    <t>毽子草伙伴们会</t>
    <phoneticPr fontId="2" type="noConversion"/>
  </si>
  <si>
    <t>被微风吹拂。</t>
    <phoneticPr fontId="2" type="noConversion"/>
  </si>
  <si>
    <t>但是很喜欢</t>
    <phoneticPr fontId="2" type="noConversion"/>
  </si>
  <si>
    <t>就会灵巧地操纵棉孢子，</t>
    <phoneticPr fontId="2" type="noConversion"/>
  </si>
  <si>
    <t>环绕世界一周。</t>
    <phoneticPr fontId="2" type="noConversion"/>
  </si>
  <si>
    <t>甚至能</t>
    <phoneticPr fontId="2" type="noConversion"/>
  </si>
  <si>
    <t>附近天气变凉之后，</t>
    <phoneticPr fontId="2" type="noConversion"/>
  </si>
  <si>
    <t>在冰冷的</t>
    <phoneticPr fontId="2" type="noConversion"/>
  </si>
  <si>
    <t>水中生活。</t>
    <phoneticPr fontId="2" type="noConversion"/>
  </si>
  <si>
    <t>就会用尾巴挖掘地面，</t>
    <phoneticPr fontId="2" type="noConversion"/>
  </si>
  <si>
    <t>如果</t>
    <phoneticPr fontId="2" type="noConversion"/>
  </si>
  <si>
    <t>被看到了，</t>
    <phoneticPr fontId="2" type="noConversion"/>
  </si>
  <si>
    <t>然后趁着被缠上的猎物</t>
    <phoneticPr fontId="2" type="noConversion"/>
  </si>
  <si>
    <t>惊慌失措时刺入毒针。</t>
    <phoneticPr fontId="2" type="noConversion"/>
  </si>
  <si>
    <t>会迎面</t>
    <phoneticPr fontId="2" type="noConversion"/>
  </si>
  <si>
    <t>飞来，</t>
    <phoneticPr fontId="2" type="noConversion"/>
  </si>
  <si>
    <t>在深深的地面之下</t>
    <phoneticPr fontId="2" type="noConversion"/>
  </si>
  <si>
    <t>还要坚硬。</t>
    <phoneticPr fontId="2" type="noConversion"/>
  </si>
  <si>
    <t>比钻石</t>
    <phoneticPr fontId="2" type="noConversion"/>
  </si>
  <si>
    <t>会一口气吞下１０升水</t>
    <phoneticPr fontId="2" type="noConversion"/>
  </si>
  <si>
    <t>为了发射</t>
    <phoneticPr fontId="2" type="noConversion"/>
  </si>
  <si>
    <t>全身的毒针，</t>
    <phoneticPr fontId="2" type="noConversion"/>
  </si>
  <si>
    <t>会溶化成</t>
    <phoneticPr fontId="2" type="noConversion"/>
  </si>
  <si>
    <t>像壶一样的甲壳之中的树果</t>
    <phoneticPr fontId="2" type="noConversion"/>
  </si>
  <si>
    <t>粗大的树干，</t>
    <phoneticPr fontId="2" type="noConversion"/>
  </si>
  <si>
    <t>但是会用前脚折断</t>
    <phoneticPr fontId="2" type="noConversion"/>
  </si>
  <si>
    <t>动来动去。</t>
    <phoneticPr fontId="2" type="noConversion"/>
  </si>
  <si>
    <t>所以在不眠不休地</t>
    <phoneticPr fontId="2" type="noConversion"/>
  </si>
  <si>
    <t>如果一直不动，由熔岩构成</t>
    <phoneticPr fontId="2" type="noConversion"/>
  </si>
  <si>
    <t>的身体就会冷却凝固，</t>
    <phoneticPr fontId="2" type="noConversion"/>
  </si>
  <si>
    <t>为了寻找食物，会用</t>
    <phoneticPr fontId="2" type="noConversion"/>
  </si>
  <si>
    <t>鼻子摩擦地面并进行挖掘。</t>
    <phoneticPr fontId="2" type="noConversion"/>
  </si>
  <si>
    <t>挖到温泉。</t>
    <phoneticPr fontId="2" type="noConversion"/>
  </si>
  <si>
    <t>偶尔会</t>
    <phoneticPr fontId="2" type="noConversion"/>
  </si>
  <si>
    <t>会用带吸盘的脚缠住对手，</t>
    <phoneticPr fontId="2" type="noConversion"/>
  </si>
  <si>
    <t>用头猛撞。</t>
    <phoneticPr fontId="2" type="noConversion"/>
  </si>
  <si>
    <t>然后再一个劲地</t>
    <phoneticPr fontId="2" type="noConversion"/>
  </si>
  <si>
    <t>会强行让遇到的人都睡着，</t>
    <phoneticPr fontId="2" type="noConversion"/>
  </si>
  <si>
    <t>很胆小，如果不聚集成群</t>
    <phoneticPr fontId="2" type="noConversion"/>
  </si>
  <si>
    <t>就会活泼好动。</t>
    <phoneticPr fontId="2" type="noConversion"/>
  </si>
  <si>
    <t>但有伙伴在</t>
    <phoneticPr fontId="2" type="noConversion"/>
  </si>
  <si>
    <t>移动得这么快。</t>
    <phoneticPr fontId="2" type="noConversion"/>
  </si>
  <si>
    <t>它就是能</t>
    <phoneticPr fontId="2" type="noConversion"/>
  </si>
  <si>
    <t>有什么东西咬住了尾巴，</t>
    <phoneticPr fontId="2" type="noConversion"/>
  </si>
  <si>
    <t>一直在水边发呆。就算</t>
    <phoneticPr fontId="2" type="noConversion"/>
  </si>
  <si>
    <t>不会注意到。</t>
    <phoneticPr fontId="2" type="noConversion"/>
  </si>
  <si>
    <t>它也一整天</t>
    <phoneticPr fontId="2" type="noConversion"/>
  </si>
  <si>
    <t>用锋利的爪子撕裂对手。</t>
    <phoneticPr fontId="2" type="noConversion"/>
  </si>
  <si>
    <t>挥动燃烧着</t>
    <phoneticPr fontId="2" type="noConversion"/>
  </si>
  <si>
    <t>火焰的尾巴，</t>
    <phoneticPr fontId="2" type="noConversion"/>
  </si>
  <si>
    <t>融化一切的灼热火焰，</t>
    <phoneticPr fontId="2" type="noConversion"/>
  </si>
  <si>
    <t>折磨对手。</t>
    <phoneticPr fontId="2" type="noConversion"/>
  </si>
  <si>
    <t>以此来</t>
    <phoneticPr fontId="2" type="noConversion"/>
  </si>
  <si>
    <t>才会变硬的甲壳具有弹性，</t>
    <phoneticPr fontId="2" type="noConversion"/>
  </si>
  <si>
    <t>会弹回</t>
    <phoneticPr fontId="2" type="noConversion"/>
  </si>
  <si>
    <t>会灵巧地摆动自己</t>
    <phoneticPr fontId="2" type="noConversion"/>
  </si>
  <si>
    <t>毛茸茸的耳朵和尾巴，</t>
    <phoneticPr fontId="2" type="noConversion"/>
  </si>
  <si>
    <t>保持平衡。</t>
    <phoneticPr fontId="2" type="noConversion"/>
  </si>
  <si>
    <t>借此在水中</t>
    <phoneticPr fontId="2" type="noConversion"/>
  </si>
  <si>
    <t>尾部的毒针会释放出</t>
    <phoneticPr fontId="2" type="noConversion"/>
  </si>
  <si>
    <t>在3根</t>
    <phoneticPr fontId="2" type="noConversion"/>
  </si>
  <si>
    <t>毒针之中，</t>
    <phoneticPr fontId="2" type="noConversion"/>
  </si>
  <si>
    <t>不管哪里都可以生存。</t>
    <phoneticPr fontId="2" type="noConversion"/>
  </si>
  <si>
    <t>都在觅食。</t>
    <phoneticPr fontId="2" type="noConversion"/>
  </si>
  <si>
    <t>整天</t>
    <phoneticPr fontId="2" type="noConversion"/>
  </si>
  <si>
    <t>一旦锁定了猎物，</t>
    <phoneticPr fontId="2" type="noConversion"/>
  </si>
  <si>
    <t>个性</t>
    <phoneticPr fontId="2" type="noConversion"/>
  </si>
  <si>
    <t>非常执着，</t>
    <phoneticPr fontId="2" type="noConversion"/>
  </si>
  <si>
    <t>愿意战斗。</t>
    <phoneticPr fontId="2" type="noConversion"/>
  </si>
  <si>
    <t>耳朵很灵，不论多远的</t>
    <phoneticPr fontId="2" type="noConversion"/>
  </si>
  <si>
    <t>声音都能用听觉辨别，</t>
    <phoneticPr fontId="2" type="noConversion"/>
  </si>
  <si>
    <t>喜欢安静的地方。</t>
    <phoneticPr fontId="2" type="noConversion"/>
  </si>
  <si>
    <t>因此平时</t>
    <phoneticPr fontId="2" type="noConversion"/>
  </si>
  <si>
    <t>它就会开始唱起令人舒心的</t>
    <phoneticPr fontId="2" type="noConversion"/>
  </si>
  <si>
    <t>歌曲，让人昏昏欲睡。</t>
    <phoneticPr fontId="2" type="noConversion"/>
  </si>
  <si>
    <t>一直盯着它</t>
    <phoneticPr fontId="2" type="noConversion"/>
  </si>
  <si>
    <t>圆溜溜的大眼睛，</t>
    <phoneticPr fontId="2" type="noConversion"/>
  </si>
  <si>
    <t>就会从背上长出名为</t>
    <phoneticPr fontId="2" type="noConversion"/>
  </si>
  <si>
    <t>冬虫夏草的蘑菇。</t>
    <phoneticPr fontId="2" type="noConversion"/>
  </si>
  <si>
    <t>身体</t>
    <phoneticPr fontId="2" type="noConversion"/>
  </si>
  <si>
    <t>长大后，</t>
    <phoneticPr fontId="2" type="noConversion"/>
  </si>
  <si>
    <t>从体内发出的特殊阿尔法波</t>
    <phoneticPr fontId="2" type="noConversion"/>
  </si>
  <si>
    <t>每次</t>
    <phoneticPr fontId="2" type="noConversion"/>
  </si>
  <si>
    <t>使用能力时，</t>
    <phoneticPr fontId="2" type="noConversion"/>
  </si>
  <si>
    <t>即使修炼上一整天也还是</t>
    <phoneticPr fontId="2" type="noConversion"/>
  </si>
  <si>
    <t>会觉得完全不满足。</t>
    <phoneticPr fontId="2" type="noConversion"/>
  </si>
  <si>
    <t>锻炼身体。</t>
    <phoneticPr fontId="2" type="noConversion"/>
  </si>
  <si>
    <t>放出能够屏蔽重力的力量，</t>
    <phoneticPr fontId="2" type="noConversion"/>
  </si>
  <si>
    <t>可以浮在空中。</t>
    <phoneticPr fontId="2" type="noConversion"/>
  </si>
  <si>
    <t>所以</t>
    <phoneticPr fontId="2" type="noConversion"/>
  </si>
  <si>
    <t>都可以将其裹住</t>
    <phoneticPr fontId="2" type="noConversion"/>
  </si>
  <si>
    <t>由气体构成的轻盈身体</t>
    <phoneticPr fontId="2" type="noConversion"/>
  </si>
  <si>
    <t>由于小孩子的梦比较美味，</t>
    <phoneticPr fontId="2" type="noConversion"/>
  </si>
  <si>
    <t>大人的梦。</t>
    <phoneticPr fontId="2" type="noConversion"/>
  </si>
  <si>
    <t>因此几乎不吃</t>
    <phoneticPr fontId="2" type="noConversion"/>
  </si>
  <si>
    <t>就会因失去平衡</t>
    <phoneticPr fontId="2" type="noConversion"/>
  </si>
  <si>
    <t>一旦用惊人的气势抬起来，</t>
    <phoneticPr fontId="2" type="noConversion"/>
  </si>
  <si>
    <t>不管受了怎样的伤，</t>
    <phoneticPr fontId="2" type="noConversion"/>
  </si>
  <si>
    <t>也决不会放弃战斗。</t>
    <phoneticPr fontId="2" type="noConversion"/>
  </si>
  <si>
    <t>如果是为了</t>
    <phoneticPr fontId="2" type="noConversion"/>
  </si>
  <si>
    <t>保护孩子，</t>
    <phoneticPr fontId="2" type="noConversion"/>
  </si>
  <si>
    <t>即使在</t>
    <phoneticPr fontId="2" type="noConversion"/>
  </si>
  <si>
    <t>水流湍急的河里</t>
    <phoneticPr fontId="2" type="noConversion"/>
  </si>
  <si>
    <t>也能以５节的速度</t>
    <phoneticPr fontId="2" type="noConversion"/>
  </si>
  <si>
    <t>据说</t>
    <phoneticPr fontId="2" type="noConversion"/>
  </si>
  <si>
    <t>因为细胞和水分子很相似，</t>
    <phoneticPr fontId="2" type="noConversion"/>
  </si>
  <si>
    <t>喜欢</t>
    <phoneticPr fontId="2" type="noConversion"/>
  </si>
  <si>
    <t>清澈见底的水边。</t>
    <phoneticPr fontId="2" type="noConversion"/>
  </si>
  <si>
    <t>据说会熟练地弯曲它的</t>
    <phoneticPr fontId="2" type="noConversion"/>
  </si>
  <si>
    <t>10条腿在海底游泳，</t>
    <phoneticPr fontId="2" type="noConversion"/>
  </si>
  <si>
    <t>是很久以前的</t>
    <phoneticPr fontId="2" type="noConversion"/>
  </si>
  <si>
    <t>变成活化石的化石盔。</t>
    <phoneticPr fontId="2" type="noConversion"/>
  </si>
  <si>
    <t>相传当雷云分成两半的时候</t>
    <phoneticPr fontId="2" type="noConversion"/>
  </si>
  <si>
    <t>据说火焰鸟现身过的雪国</t>
    <phoneticPr fontId="2" type="noConversion"/>
  </si>
  <si>
    <t>会抢先一步变成春天。</t>
    <phoneticPr fontId="2" type="noConversion"/>
  </si>
  <si>
    <t>好像蕴含着能自由操纵</t>
    <phoneticPr fontId="2" type="noConversion"/>
  </si>
  <si>
    <t>在水晶一样的</t>
    <phoneticPr fontId="2" type="noConversion"/>
  </si>
  <si>
    <t>珠子里，</t>
    <phoneticPr fontId="2" type="noConversion"/>
  </si>
  <si>
    <t>拥有能感知周围的湿度和</t>
    <phoneticPr fontId="2" type="noConversion"/>
  </si>
  <si>
    <t>带有香味的</t>
    <phoneticPr fontId="2" type="noConversion"/>
  </si>
  <si>
    <t>叶子</t>
    <phoneticPr fontId="2" type="noConversion"/>
  </si>
  <si>
    <t>脖子周围散发出的</t>
    <phoneticPr fontId="2" type="noConversion"/>
  </si>
  <si>
    <t>效果。</t>
    <phoneticPr fontId="2" type="noConversion"/>
  </si>
  <si>
    <t>有焕发活力的</t>
    <phoneticPr fontId="2" type="noConversion"/>
  </si>
  <si>
    <t>会摩擦熊熊燃烧着的体毛，</t>
    <phoneticPr fontId="2" type="noConversion"/>
  </si>
  <si>
    <t>进行攻击。</t>
    <phoneticPr fontId="2" type="noConversion"/>
  </si>
  <si>
    <t>掀起爆炸气浪</t>
    <phoneticPr fontId="2" type="noConversion"/>
  </si>
  <si>
    <t>在咬住时弄掉的牙齿会</t>
    <phoneticPr fontId="2" type="noConversion"/>
  </si>
  <si>
    <t>会张开大嘴</t>
    <phoneticPr fontId="2" type="noConversion"/>
  </si>
  <si>
    <t>因为在陆地上难以支撑身体</t>
    <phoneticPr fontId="2" type="noConversion"/>
  </si>
  <si>
    <t>非常快。</t>
    <phoneticPr fontId="2" type="noConversion"/>
  </si>
  <si>
    <t>但是能移动得</t>
    <phoneticPr fontId="2" type="noConversion"/>
  </si>
  <si>
    <t>生物钟都准确无比，</t>
    <phoneticPr fontId="2" type="noConversion"/>
  </si>
  <si>
    <t>不管在什么时候，体内的</t>
    <phoneticPr fontId="2" type="noConversion"/>
  </si>
  <si>
    <t>倾斜头部。</t>
    <phoneticPr fontId="2" type="noConversion"/>
  </si>
  <si>
    <t>会用固定的节奏</t>
    <phoneticPr fontId="2" type="noConversion"/>
  </si>
  <si>
    <t>大量的芭瓢虫会从各处</t>
    <phoneticPr fontId="2" type="noConversion"/>
  </si>
  <si>
    <t>聚集到一起抱团取暖。</t>
    <phoneticPr fontId="2" type="noConversion"/>
  </si>
  <si>
    <t>天气</t>
    <phoneticPr fontId="2" type="noConversion"/>
  </si>
  <si>
    <t>变冷后，</t>
    <phoneticPr fontId="2" type="noConversion"/>
  </si>
  <si>
    <t>一会变小。</t>
    <phoneticPr fontId="2" type="noConversion"/>
  </si>
  <si>
    <t>一会变大</t>
    <phoneticPr fontId="2" type="noConversion"/>
  </si>
  <si>
    <t>星星的数量遥相呼应，</t>
    <phoneticPr fontId="2" type="noConversion"/>
  </si>
  <si>
    <t>背上的星星花纹会和夜空中</t>
    <phoneticPr fontId="2" type="noConversion"/>
  </si>
  <si>
    <t>是它们唯一的通信手段。</t>
    <phoneticPr fontId="2" type="noConversion"/>
  </si>
  <si>
    <t>在黑暗的</t>
    <phoneticPr fontId="2" type="noConversion"/>
  </si>
  <si>
    <t>海底，</t>
    <phoneticPr fontId="2" type="noConversion"/>
  </si>
  <si>
    <t>在流星很多的夜晚发现</t>
    <phoneticPr fontId="2" type="noConversion"/>
  </si>
  <si>
    <t>皮宝宝的事例会变多。</t>
    <phoneticPr fontId="2" type="noConversion"/>
  </si>
  <si>
    <t>不可思议</t>
    <phoneticPr fontId="2" type="noConversion"/>
  </si>
  <si>
    <t>的是，</t>
    <phoneticPr fontId="2" type="noConversion"/>
  </si>
  <si>
    <t>跳舞时花瓣会互相碰触，</t>
    <phoneticPr fontId="2" type="noConversion"/>
  </si>
  <si>
    <t>在南国</t>
    <phoneticPr fontId="2" type="noConversion"/>
  </si>
  <si>
    <t>大量生活着。</t>
    <phoneticPr fontId="2" type="noConversion"/>
  </si>
  <si>
    <t>准确地预测出接下来的天气</t>
    <phoneticPr fontId="2" type="noConversion"/>
  </si>
  <si>
    <t>能通过感受</t>
    <phoneticPr fontId="2" type="noConversion"/>
  </si>
  <si>
    <t>空气的流动，</t>
    <phoneticPr fontId="2" type="noConversion"/>
  </si>
  <si>
    <t>而悄悄地生活在黑暗之中。</t>
    <phoneticPr fontId="2" type="noConversion"/>
  </si>
  <si>
    <t>发起攻击。</t>
    <phoneticPr fontId="2" type="noConversion"/>
  </si>
  <si>
    <t>不会主动</t>
    <phoneticPr fontId="2" type="noConversion"/>
  </si>
  <si>
    <t>尾巴有时会被气味吸引</t>
    <phoneticPr fontId="2" type="noConversion"/>
  </si>
  <si>
    <t>尾巴上也有着</t>
    <phoneticPr fontId="2" type="noConversion"/>
  </si>
  <si>
    <t>小小的大脑。</t>
    <phoneticPr fontId="2" type="noConversion"/>
  </si>
  <si>
    <t>不怎么会动。</t>
    <phoneticPr fontId="2" type="noConversion"/>
  </si>
  <si>
    <t>它自己</t>
    <phoneticPr fontId="2" type="noConversion"/>
  </si>
  <si>
    <t>一个不剩地找出来。</t>
    <phoneticPr fontId="2" type="noConversion"/>
  </si>
  <si>
    <t>它也能</t>
    <phoneticPr fontId="2" type="noConversion"/>
  </si>
  <si>
    <t>体内循环着的高热火焰会</t>
    <phoneticPr fontId="2" type="noConversion"/>
  </si>
  <si>
    <t>背上的壳</t>
    <phoneticPr fontId="2" type="noConversion"/>
  </si>
  <si>
    <t>很容易崩裂，</t>
    <phoneticPr fontId="2" type="noConversion"/>
  </si>
  <si>
    <t>便会不顾一切地朝着气味的</t>
    <phoneticPr fontId="2" type="noConversion"/>
  </si>
  <si>
    <t>方向飞奔过去。</t>
    <phoneticPr fontId="2" type="noConversion"/>
  </si>
  <si>
    <t>嗅到诱人的</t>
    <phoneticPr fontId="2" type="noConversion"/>
  </si>
  <si>
    <t>香味时，</t>
    <phoneticPr fontId="2" type="noConversion"/>
  </si>
  <si>
    <t>背上的体毛会倒竖起来。</t>
    <phoneticPr fontId="2" type="noConversion"/>
  </si>
  <si>
    <t>极度敏感。</t>
    <phoneticPr fontId="2" type="noConversion"/>
  </si>
  <si>
    <t>对声音</t>
    <phoneticPr fontId="2" type="noConversion"/>
  </si>
  <si>
    <t>为了在巢里等待的雏鸟们，</t>
    <phoneticPr fontId="2" type="noConversion"/>
  </si>
  <si>
    <t>它的巢</t>
    <phoneticPr fontId="2" type="noConversion"/>
  </si>
  <si>
    <t>在峭壁的前端，</t>
    <phoneticPr fontId="2" type="noConversion"/>
  </si>
  <si>
    <t>伴随着刺伤成长起来的雏鸟</t>
    <phoneticPr fontId="2" type="noConversion"/>
  </si>
  <si>
    <t>翅膀会变得坚硬无比。</t>
    <phoneticPr fontId="2" type="noConversion"/>
  </si>
  <si>
    <t>会在荆棘丛里</t>
    <phoneticPr fontId="2" type="noConversion"/>
  </si>
  <si>
    <t>筑巢。</t>
    <phoneticPr fontId="2" type="noConversion"/>
  </si>
  <si>
    <t>说其身体闪耀着七彩光芒，</t>
    <phoneticPr fontId="2" type="noConversion"/>
  </si>
  <si>
    <t>记载于神话中的</t>
    <phoneticPr fontId="2" type="noConversion"/>
  </si>
  <si>
    <t>森林深处所留下来的蛋，</t>
    <phoneticPr fontId="2" type="noConversion"/>
  </si>
  <si>
    <t>未来带过来的。</t>
    <phoneticPr fontId="2" type="noConversion"/>
  </si>
  <si>
    <t>据说是从</t>
    <phoneticPr fontId="2" type="noConversion"/>
  </si>
  <si>
    <t>它的身体在水中</t>
    <phoneticPr fontId="2" type="noConversion"/>
  </si>
  <si>
    <t>难以看清，</t>
    <phoneticPr fontId="2" type="noConversion"/>
  </si>
  <si>
    <t>有时直到被蛰才会发现。</t>
    <phoneticPr fontId="2" type="noConversion"/>
  </si>
  <si>
    <t>藤蔓会微妙地晃动，</t>
    <phoneticPr fontId="2" type="noConversion"/>
  </si>
  <si>
    <t>会动的东西。因为</t>
    <phoneticPr fontId="2" type="noConversion"/>
  </si>
  <si>
    <t>周围的一切都燃烧殆尽，</t>
    <phoneticPr fontId="2" type="noConversion"/>
  </si>
  <si>
    <t>暴鲤龙一旦现身，不把</t>
    <phoneticPr fontId="2" type="noConversion"/>
  </si>
  <si>
    <t>当作食物的虫子飞过来。</t>
    <phoneticPr fontId="2" type="noConversion"/>
  </si>
  <si>
    <t>就这么挂着等待</t>
    <phoneticPr fontId="2" type="noConversion"/>
  </si>
  <si>
    <t>是埋在地下深处的食物，</t>
    <phoneticPr fontId="2" type="noConversion"/>
  </si>
  <si>
    <t>能分辨出任何气味。即使</t>
    <phoneticPr fontId="2" type="noConversion"/>
  </si>
  <si>
    <t>周围的地形也是</t>
    <phoneticPr fontId="2" type="noConversion"/>
  </si>
  <si>
    <t>小菜一碟。个性狂妄，</t>
    <phoneticPr fontId="2" type="noConversion"/>
  </si>
  <si>
    <t>挖穿河底的岩石来筑巢，</t>
    <phoneticPr fontId="2" type="noConversion"/>
  </si>
  <si>
    <t>金鱼王之所以会用角</t>
    <phoneticPr fontId="2" type="noConversion"/>
  </si>
  <si>
    <t>这样的说法，</t>
    <phoneticPr fontId="2" type="noConversion"/>
  </si>
  <si>
    <t>在南美流传着</t>
    <phoneticPr fontId="2" type="noConversion"/>
  </si>
  <si>
    <t>出生时，全身都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</si>
</sst>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FangSong"/>
      <family val="3"/>
      <charset val="134"/>
    </font>
    <font>
      <b/>
      <sz val="10"/>
      <color indexed="8"/>
      <name val="黑体"/>
      <family val="3"/>
      <charset val="134"/>
    </font>
    <font>
      <sz val="10"/>
      <color indexed="8"/>
      <name val="黑体"/>
      <family val="3"/>
      <charset val="134"/>
    </font>
    <font>
      <b/>
      <sz val="10"/>
      <color rgb="FF000000"/>
      <name val="黑体"/>
      <family val="3"/>
      <charset val="134"/>
    </font>
    <font>
      <sz val="10"/>
      <color rgb="FF000000"/>
      <name val="Yu Gothic"/>
      <family val="3"/>
      <charset val="128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3"/>
      </right>
      <top/>
      <bottom style="thin">
        <color indexed="10"/>
      </bottom>
      <diagonal/>
    </border>
    <border>
      <left style="thin">
        <color indexed="13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3" fillId="2" borderId="2" xfId="0" applyNumberFormat="1" applyFont="1" applyFill="1" applyBorder="1" applyAlignment="1">
      <alignment horizontal="center" vertical="top"/>
    </xf>
    <xf numFmtId="49" fontId="3" fillId="2" borderId="2" xfId="0" applyNumberFormat="1" applyFont="1" applyFill="1" applyBorder="1" applyAlignment="1">
      <alignment horizontal="center" vertical="top" wrapText="1"/>
    </xf>
    <xf numFmtId="0" fontId="4" fillId="0" borderId="8" xfId="0" applyNumberFormat="1" applyFont="1" applyBorder="1" applyAlignment="1">
      <alignment horizontal="center" vertical="top"/>
    </xf>
    <xf numFmtId="49" fontId="3" fillId="2" borderId="15" xfId="0" applyNumberFormat="1" applyFont="1" applyFill="1" applyBorder="1" applyAlignment="1">
      <alignment horizontal="center" vertical="top" wrapText="1"/>
    </xf>
    <xf numFmtId="0" fontId="3" fillId="3" borderId="9" xfId="0" applyNumberFormat="1" applyFont="1" applyFill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0" fontId="4" fillId="0" borderId="3" xfId="0" applyNumberFormat="1" applyFont="1" applyBorder="1" applyAlignment="1">
      <alignment horizontal="center" vertical="top"/>
    </xf>
    <xf numFmtId="0" fontId="4" fillId="0" borderId="16" xfId="0" applyNumberFormat="1" applyFont="1" applyBorder="1" applyAlignment="1">
      <alignment horizontal="center" vertical="top"/>
    </xf>
    <xf numFmtId="0" fontId="4" fillId="0" borderId="13" xfId="0" applyNumberFormat="1" applyFont="1" applyBorder="1" applyAlignment="1">
      <alignment horizontal="center" vertical="top"/>
    </xf>
    <xf numFmtId="0" fontId="4" fillId="0" borderId="14" xfId="0" applyNumberFormat="1" applyFont="1" applyBorder="1" applyAlignment="1">
      <alignment horizontal="center" vertical="top"/>
    </xf>
    <xf numFmtId="0" fontId="3" fillId="0" borderId="13" xfId="0" applyNumberFormat="1" applyFont="1" applyBorder="1" applyAlignment="1">
      <alignment horizontal="center" vertical="top"/>
    </xf>
    <xf numFmtId="0" fontId="3" fillId="3" borderId="13" xfId="0" applyNumberFormat="1" applyFont="1" applyFill="1" applyBorder="1" applyAlignment="1">
      <alignment horizontal="right" vertical="top"/>
    </xf>
    <xf numFmtId="0" fontId="4" fillId="0" borderId="1" xfId="0" applyNumberFormat="1" applyFont="1" applyBorder="1" applyAlignment="1">
      <alignment horizontal="center" vertical="top"/>
    </xf>
    <xf numFmtId="0" fontId="3" fillId="2" borderId="2" xfId="0" applyNumberFormat="1" applyFont="1" applyFill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 wrapText="1"/>
    </xf>
    <xf numFmtId="0" fontId="0" fillId="0" borderId="0" xfId="0" applyNumberFormat="1" applyAlignment="1">
      <alignment horizontal="center" vertical="top"/>
    </xf>
    <xf numFmtId="0" fontId="3" fillId="3" borderId="3" xfId="0" applyNumberFormat="1" applyFont="1" applyFill="1" applyBorder="1" applyAlignment="1">
      <alignment horizontal="center" vertical="top"/>
    </xf>
    <xf numFmtId="0" fontId="3" fillId="3" borderId="4" xfId="0" applyNumberFormat="1" applyFont="1" applyFill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0" fontId="3" fillId="3" borderId="8" xfId="0" applyNumberFormat="1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 vertical="top"/>
    </xf>
    <xf numFmtId="0" fontId="3" fillId="3" borderId="6" xfId="0" applyNumberFormat="1" applyFont="1" applyFill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top"/>
    </xf>
    <xf numFmtId="0" fontId="4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center" vertical="top"/>
    </xf>
    <xf numFmtId="0" fontId="3" fillId="0" borderId="0" xfId="0" applyNumberFormat="1" applyFont="1" applyBorder="1" applyAlignment="1">
      <alignment horizontal="center" vertical="top"/>
    </xf>
    <xf numFmtId="0" fontId="3" fillId="0" borderId="17" xfId="0" applyNumberFormat="1" applyFont="1" applyBorder="1" applyAlignment="1">
      <alignment horizontal="center" vertical="top" wrapText="1"/>
    </xf>
    <xf numFmtId="0" fontId="1" fillId="0" borderId="0" xfId="0" applyNumberFormat="1" applyFont="1" applyAlignment="1">
      <alignment horizontal="center" vertical="top"/>
    </xf>
    <xf numFmtId="0" fontId="1" fillId="5" borderId="0" xfId="0" applyNumberFormat="1" applyFont="1" applyFill="1" applyAlignment="1">
      <alignment horizontal="center" vertical="top"/>
    </xf>
    <xf numFmtId="49" fontId="4" fillId="4" borderId="10" xfId="0" applyNumberFormat="1" applyFont="1" applyFill="1" applyBorder="1" applyAlignment="1">
      <alignment horizontal="left" vertical="top"/>
    </xf>
    <xf numFmtId="49" fontId="4" fillId="4" borderId="11" xfId="0" applyNumberFormat="1" applyFont="1" applyFill="1" applyBorder="1" applyAlignment="1">
      <alignment horizontal="left" vertical="top"/>
    </xf>
    <xf numFmtId="49" fontId="4" fillId="4" borderId="12" xfId="0" applyNumberFormat="1" applyFont="1" applyFill="1" applyBorder="1" applyAlignment="1">
      <alignment horizontal="left" vertical="top"/>
    </xf>
    <xf numFmtId="49" fontId="4" fillId="0" borderId="10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12" xfId="0" applyNumberFormat="1" applyFont="1" applyBorder="1" applyAlignment="1">
      <alignment horizontal="left" vertical="top"/>
    </xf>
    <xf numFmtId="49" fontId="4" fillId="4" borderId="18" xfId="0" applyNumberFormat="1" applyFont="1" applyFill="1" applyBorder="1" applyAlignment="1">
      <alignment horizontal="left" vertical="top"/>
    </xf>
    <xf numFmtId="49" fontId="4" fillId="0" borderId="18" xfId="0" applyNumberFormat="1" applyFont="1" applyBorder="1" applyAlignment="1">
      <alignment horizontal="left" vertical="top"/>
    </xf>
    <xf numFmtId="49" fontId="4" fillId="0" borderId="10" xfId="0" applyNumberFormat="1" applyFont="1" applyFill="1" applyBorder="1" applyAlignment="1">
      <alignment horizontal="left" vertical="top"/>
    </xf>
    <xf numFmtId="49" fontId="4" fillId="0" borderId="11" xfId="0" applyNumberFormat="1" applyFont="1" applyFill="1" applyBorder="1" applyAlignment="1">
      <alignment horizontal="left" vertical="top"/>
    </xf>
    <xf numFmtId="49" fontId="4" fillId="0" borderId="12" xfId="0" applyNumberFormat="1" applyFont="1" applyFill="1" applyBorder="1" applyAlignment="1">
      <alignment horizontal="left" vertical="top"/>
    </xf>
    <xf numFmtId="49" fontId="6" fillId="0" borderId="10" xfId="0" applyNumberFormat="1" applyFont="1" applyBorder="1" applyAlignment="1">
      <alignment horizontal="left" vertical="top"/>
    </xf>
  </cellXfs>
  <cellStyles count="1">
    <cellStyle name="Normal" xfId="0" builtinId="0"/>
  </cellStyles>
  <dxfs count="2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D931"/>
      <rgbColor rgb="FF56C1FE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1256"/>
  <sheetViews>
    <sheetView showGridLines="0" tabSelected="1" topLeftCell="A206" zoomScale="130" zoomScaleNormal="130" workbookViewId="0">
      <selection activeCell="C230" sqref="C230:G230"/>
    </sheetView>
  </sheetViews>
  <sheetFormatPr baseColWidth="10" defaultColWidth="8.33203125" defaultRowHeight="20" customHeight="1"/>
  <cols>
    <col min="1" max="1" width="5.1640625" style="17" customWidth="1"/>
    <col min="2" max="2" width="9.83203125" style="17" customWidth="1"/>
    <col min="3" max="3" width="6" style="17" customWidth="1"/>
    <col min="4" max="4" width="3.6640625" style="17" customWidth="1"/>
    <col min="5" max="5" width="4.1640625" style="17" customWidth="1"/>
    <col min="6" max="6" width="5.83203125" style="17" customWidth="1"/>
    <col min="7" max="7" width="5.5" style="17" customWidth="1"/>
    <col min="8" max="8" width="5.33203125" style="17" customWidth="1"/>
    <col min="9" max="9" width="4.83203125" style="17" customWidth="1"/>
    <col min="10" max="10" width="5" style="29" customWidth="1"/>
    <col min="11" max="11" width="2.33203125" style="17" customWidth="1"/>
    <col min="12" max="12" width="4.83203125" style="25" customWidth="1"/>
    <col min="13" max="17" width="8.33203125" style="25"/>
    <col min="18" max="19" width="3.6640625" style="25" bestFit="1" customWidth="1"/>
    <col min="20" max="20" width="5.33203125" style="26" bestFit="1" customWidth="1"/>
    <col min="21" max="16384" width="8.33203125" style="1"/>
  </cols>
  <sheetData>
    <row r="1" spans="1:20" ht="36.75" customHeight="1">
      <c r="A1" s="2" t="s">
        <v>414</v>
      </c>
      <c r="B1" s="15" t="s">
        <v>0</v>
      </c>
      <c r="C1" s="2" t="s">
        <v>1</v>
      </c>
      <c r="D1" s="3" t="s">
        <v>415</v>
      </c>
      <c r="E1" s="3" t="s">
        <v>416</v>
      </c>
      <c r="F1" s="3" t="s">
        <v>417</v>
      </c>
      <c r="G1" s="3" t="s">
        <v>418</v>
      </c>
      <c r="H1" s="3" t="s">
        <v>419</v>
      </c>
      <c r="I1" s="5" t="s">
        <v>420</v>
      </c>
      <c r="J1" s="28" t="s">
        <v>423</v>
      </c>
      <c r="K1" s="16"/>
      <c r="L1" s="16"/>
    </row>
    <row r="2" spans="1:20" ht="20.25" customHeight="1">
      <c r="A2" s="18">
        <v>1</v>
      </c>
      <c r="B2" s="19" t="s">
        <v>2</v>
      </c>
      <c r="C2" s="7" t="s">
        <v>3</v>
      </c>
      <c r="D2" s="8">
        <f>LEN($B2)</f>
        <v>4</v>
      </c>
      <c r="E2" s="8">
        <f>LEN(C2)+3</f>
        <v>5</v>
      </c>
      <c r="F2" s="8">
        <f>MOD(D2,2)*4+FLOOR(D2/2,1)*6</f>
        <v>12</v>
      </c>
      <c r="G2" s="8">
        <f>MOD(E2,2)*4+FLOOR(E2/2,1)*6</f>
        <v>16</v>
      </c>
      <c r="H2" s="8">
        <v>12</v>
      </c>
      <c r="I2" s="9">
        <f>108-H2-G2-F2</f>
        <v>68</v>
      </c>
      <c r="J2" s="12"/>
      <c r="K2" s="20"/>
      <c r="L2" s="20"/>
      <c r="M2" s="20"/>
      <c r="N2" s="20"/>
      <c r="O2" s="20"/>
      <c r="P2" s="20"/>
      <c r="Q2" s="20"/>
      <c r="R2" s="20"/>
      <c r="S2" s="20"/>
      <c r="T2" s="27"/>
    </row>
    <row r="3" spans="1:20" ht="20.25" customHeight="1">
      <c r="A3" s="21"/>
      <c r="B3" s="6" t="str">
        <f>IF(H3&lt;=12,"有效","无效")</f>
        <v>有效</v>
      </c>
      <c r="C3" s="34" t="s">
        <v>430</v>
      </c>
      <c r="D3" s="35"/>
      <c r="E3" s="35"/>
      <c r="F3" s="35"/>
      <c r="G3" s="36"/>
      <c r="H3" s="4">
        <f>LEN(C3)</f>
        <v>6</v>
      </c>
      <c r="I3" s="11">
        <f>MOD(H3,2)*4+FLOOR(H3/2,1)*6</f>
        <v>18</v>
      </c>
      <c r="J3" s="12">
        <f>I3+I4</f>
        <v>36</v>
      </c>
      <c r="K3" s="20"/>
      <c r="L3" s="13" t="str">
        <f>IF(R3&lt;=12,"有效","无效")</f>
        <v>有效</v>
      </c>
      <c r="M3" s="32" t="s">
        <v>424</v>
      </c>
      <c r="N3" s="32"/>
      <c r="O3" s="32"/>
      <c r="P3" s="32"/>
      <c r="Q3" s="33"/>
      <c r="R3" s="10">
        <f>LEN(M3)</f>
        <v>9</v>
      </c>
      <c r="S3" s="10">
        <f>MOD(R3,2)*4+FLOOR(R3/2,1)*6</f>
        <v>28</v>
      </c>
      <c r="T3" s="12">
        <f>S3+S4</f>
        <v>58</v>
      </c>
    </row>
    <row r="4" spans="1:20" ht="20.25" customHeight="1">
      <c r="A4" s="21"/>
      <c r="B4" s="6" t="str">
        <f>IF(H4&lt;=12,"有效","无效")</f>
        <v>有效</v>
      </c>
      <c r="C4" s="34" t="s">
        <v>421</v>
      </c>
      <c r="D4" s="35"/>
      <c r="E4" s="35"/>
      <c r="F4" s="35"/>
      <c r="G4" s="36"/>
      <c r="H4" s="4">
        <f>LEN(C4)</f>
        <v>6</v>
      </c>
      <c r="I4" s="11">
        <f>MOD(H4,2)*4+FLOOR(H4/2,1)*6</f>
        <v>18</v>
      </c>
      <c r="J4" s="12" t="str">
        <f>IF(J3&lt;I2,"有效","无效")</f>
        <v>有效</v>
      </c>
      <c r="K4" s="20"/>
      <c r="L4" s="6" t="str">
        <f>IF(R4&lt;=12,"有效","无效")</f>
        <v>有效</v>
      </c>
      <c r="M4" s="31" t="s">
        <v>425</v>
      </c>
      <c r="N4" s="32"/>
      <c r="O4" s="32"/>
      <c r="P4" s="32"/>
      <c r="Q4" s="33"/>
      <c r="R4" s="10">
        <f>LEN(M4)</f>
        <v>10</v>
      </c>
      <c r="S4" s="10">
        <f>MOD(R4,2)*4+FLOOR(R4/2,1)*6</f>
        <v>30</v>
      </c>
      <c r="T4" s="12" t="str">
        <f>IF(T3&lt;I2,"有效","无效")</f>
        <v>有效</v>
      </c>
    </row>
    <row r="5" spans="1:20" ht="20.25" customHeight="1">
      <c r="A5" s="21"/>
      <c r="B5" s="6" t="str">
        <f>IF(H5&lt;=12,"有效","无效")</f>
        <v>有效</v>
      </c>
      <c r="C5" s="34" t="s">
        <v>428</v>
      </c>
      <c r="D5" s="35"/>
      <c r="E5" s="35"/>
      <c r="F5" s="35"/>
      <c r="G5" s="36"/>
      <c r="H5" s="4">
        <f>LEN(C5)</f>
        <v>7</v>
      </c>
      <c r="I5" s="11">
        <f>MOD(H5,2)*4+FLOOR(H5/2,1)*6</f>
        <v>22</v>
      </c>
      <c r="J5" s="12">
        <f>I5+I6</f>
        <v>38</v>
      </c>
      <c r="K5" s="20"/>
      <c r="L5" s="6" t="str">
        <f>IF(R5&lt;=12,"有效","无效")</f>
        <v>有效</v>
      </c>
      <c r="M5" s="31" t="s">
        <v>426</v>
      </c>
      <c r="N5" s="32"/>
      <c r="O5" s="32"/>
      <c r="P5" s="32"/>
      <c r="Q5" s="33"/>
      <c r="R5" s="10">
        <f>LEN(M5)</f>
        <v>8</v>
      </c>
      <c r="S5" s="10">
        <f>MOD(R5,2)*4+FLOOR(R5/2,1)*6</f>
        <v>24</v>
      </c>
      <c r="T5" s="12">
        <f>S5+S6</f>
        <v>52</v>
      </c>
    </row>
    <row r="6" spans="1:20" ht="20.25" customHeight="1">
      <c r="A6" s="21"/>
      <c r="B6" s="6" t="str">
        <f>IF(H6&lt;=12,"有效","无效")</f>
        <v>有效</v>
      </c>
      <c r="C6" s="34" t="s">
        <v>429</v>
      </c>
      <c r="D6" s="35"/>
      <c r="E6" s="35"/>
      <c r="F6" s="35"/>
      <c r="G6" s="36"/>
      <c r="H6" s="4">
        <f>LEN(C6)</f>
        <v>5</v>
      </c>
      <c r="I6" s="11">
        <f>MOD(H6,2)*4+FLOOR(H6/2,1)*6</f>
        <v>16</v>
      </c>
      <c r="J6" s="12" t="str">
        <f>IF(J5&lt;I2,"有效","无效")</f>
        <v>有效</v>
      </c>
      <c r="K6" s="20"/>
      <c r="L6" s="6" t="str">
        <f>IF(R6&lt;=12,"有效","无效")</f>
        <v>有效</v>
      </c>
      <c r="M6" s="31" t="s">
        <v>427</v>
      </c>
      <c r="N6" s="32"/>
      <c r="O6" s="32"/>
      <c r="P6" s="32"/>
      <c r="Q6" s="33"/>
      <c r="R6" s="10">
        <f>LEN(M6)</f>
        <v>9</v>
      </c>
      <c r="S6" s="10">
        <f>MOD(R6,2)*4+FLOOR(R6/2,1)*6</f>
        <v>28</v>
      </c>
      <c r="T6" s="12" t="str">
        <f>IF(T5&lt;I2,"有效","无效")</f>
        <v>有效</v>
      </c>
    </row>
    <row r="7" spans="1:20" ht="20" customHeight="1">
      <c r="A7" s="22">
        <v>2</v>
      </c>
      <c r="B7" s="23" t="s">
        <v>4</v>
      </c>
      <c r="C7" s="24" t="s">
        <v>3</v>
      </c>
      <c r="D7" s="14">
        <f>LEN($B7)</f>
        <v>3</v>
      </c>
      <c r="E7" s="14">
        <f>LEN(C7)+3</f>
        <v>5</v>
      </c>
      <c r="F7" s="14">
        <f>MOD(D7,2)*4+FLOOR(D7/2,1)*6</f>
        <v>10</v>
      </c>
      <c r="G7" s="14">
        <f>MOD(E7,2)*4+FLOOR(E7/2,1)*6</f>
        <v>16</v>
      </c>
      <c r="H7" s="14">
        <v>12</v>
      </c>
      <c r="I7" s="14">
        <f>108-H7-G7-F7</f>
        <v>70</v>
      </c>
      <c r="J7" s="26"/>
      <c r="K7" s="25"/>
    </row>
    <row r="8" spans="1:20" ht="20" customHeight="1">
      <c r="A8" s="22"/>
      <c r="B8" s="6" t="str">
        <f>IF(H8&lt;=12,"有效","无效")</f>
        <v>有效</v>
      </c>
      <c r="C8" s="31" t="s">
        <v>431</v>
      </c>
      <c r="D8" s="32"/>
      <c r="E8" s="32"/>
      <c r="F8" s="32"/>
      <c r="G8" s="33"/>
      <c r="H8" s="4">
        <f>LEN(C8)</f>
        <v>9</v>
      </c>
      <c r="I8" s="11">
        <f>MOD(H8,2)*4+FLOOR(H8/2,1)*6</f>
        <v>28</v>
      </c>
      <c r="J8" s="12">
        <f>I8+I9</f>
        <v>62</v>
      </c>
      <c r="K8" s="20"/>
      <c r="L8" s="13" t="str">
        <f>IF(R8&lt;=12,"有效","无效")</f>
        <v>有效</v>
      </c>
      <c r="M8" s="35" t="s">
        <v>436</v>
      </c>
      <c r="N8" s="35"/>
      <c r="O8" s="35"/>
      <c r="P8" s="35"/>
      <c r="Q8" s="36"/>
      <c r="R8" s="10">
        <f>LEN(M8)</f>
        <v>7</v>
      </c>
      <c r="S8" s="10">
        <f>MOD(R8,2)*4+FLOOR(R8/2,1)*6</f>
        <v>22</v>
      </c>
      <c r="T8" s="12">
        <f>S8+S9</f>
        <v>44</v>
      </c>
    </row>
    <row r="9" spans="1:20" ht="20" customHeight="1">
      <c r="A9" s="22"/>
      <c r="B9" s="6" t="str">
        <f>IF(H9&lt;=12,"有效","无效")</f>
        <v>有效</v>
      </c>
      <c r="C9" s="31" t="s">
        <v>432</v>
      </c>
      <c r="D9" s="32"/>
      <c r="E9" s="32"/>
      <c r="F9" s="32"/>
      <c r="G9" s="33"/>
      <c r="H9" s="4">
        <f>LEN(C9)</f>
        <v>11</v>
      </c>
      <c r="I9" s="11">
        <f>MOD(H9,2)*4+FLOOR(H9/2,1)*6</f>
        <v>34</v>
      </c>
      <c r="J9" s="12" t="str">
        <f>IF(J8&lt;I7,"有效","无效")</f>
        <v>有效</v>
      </c>
      <c r="K9" s="20"/>
      <c r="L9" s="6" t="str">
        <f>IF(R9&lt;=12,"有效","无效")</f>
        <v>有效</v>
      </c>
      <c r="M9" s="34" t="s">
        <v>438</v>
      </c>
      <c r="N9" s="35"/>
      <c r="O9" s="35"/>
      <c r="P9" s="35"/>
      <c r="Q9" s="36"/>
      <c r="R9" s="10">
        <f>LEN(M9)</f>
        <v>7</v>
      </c>
      <c r="S9" s="10">
        <f>MOD(R9,2)*4+FLOOR(R9/2,1)*6</f>
        <v>22</v>
      </c>
      <c r="T9" s="12" t="str">
        <f>IF(T8&lt;I7,"有效","无效")</f>
        <v>有效</v>
      </c>
    </row>
    <row r="10" spans="1:20" ht="20" customHeight="1">
      <c r="A10" s="22"/>
      <c r="B10" s="6" t="str">
        <f>IF(H10&lt;=12,"有效","无效")</f>
        <v>有效</v>
      </c>
      <c r="C10" s="31" t="s">
        <v>433</v>
      </c>
      <c r="D10" s="32"/>
      <c r="E10" s="32"/>
      <c r="F10" s="32"/>
      <c r="G10" s="33"/>
      <c r="H10" s="4">
        <f>LEN(C10)</f>
        <v>5</v>
      </c>
      <c r="I10" s="11">
        <f>MOD(H10,2)*4+FLOOR(H10/2,1)*6</f>
        <v>16</v>
      </c>
      <c r="J10" s="12">
        <f>I10+I11</f>
        <v>38</v>
      </c>
      <c r="K10" s="20"/>
      <c r="L10" s="6" t="str">
        <f>IF(R10&lt;=12,"有效","无效")</f>
        <v>有效</v>
      </c>
      <c r="M10" s="34" t="s">
        <v>437</v>
      </c>
      <c r="N10" s="35"/>
      <c r="O10" s="35"/>
      <c r="P10" s="35"/>
      <c r="Q10" s="36"/>
      <c r="R10" s="10">
        <f>LEN(M10)</f>
        <v>6</v>
      </c>
      <c r="S10" s="10">
        <f>MOD(R10,2)*4+FLOOR(R10/2,1)*6</f>
        <v>18</v>
      </c>
      <c r="T10" s="12">
        <f>S10+S11</f>
        <v>36</v>
      </c>
    </row>
    <row r="11" spans="1:20" ht="20" customHeight="1">
      <c r="A11" s="22"/>
      <c r="B11" s="6" t="str">
        <f>IF(H11&lt;=12,"有效","无效")</f>
        <v>有效</v>
      </c>
      <c r="C11" s="31" t="s">
        <v>434</v>
      </c>
      <c r="D11" s="32"/>
      <c r="E11" s="32"/>
      <c r="F11" s="32"/>
      <c r="G11" s="33"/>
      <c r="H11" s="4">
        <f>LEN(C11)</f>
        <v>7</v>
      </c>
      <c r="I11" s="11">
        <f>MOD(H11,2)*4+FLOOR(H11/2,1)*6</f>
        <v>22</v>
      </c>
      <c r="J11" s="12" t="str">
        <f>IF(J10&lt;I7,"有效","无效")</f>
        <v>有效</v>
      </c>
      <c r="K11" s="20"/>
      <c r="L11" s="6" t="str">
        <f>IF(R11&lt;=12,"有效","无效")</f>
        <v>有效</v>
      </c>
      <c r="M11" s="34" t="s">
        <v>435</v>
      </c>
      <c r="N11" s="35"/>
      <c r="O11" s="35"/>
      <c r="P11" s="35"/>
      <c r="Q11" s="36"/>
      <c r="R11" s="10">
        <f>LEN(M11)</f>
        <v>6</v>
      </c>
      <c r="S11" s="10">
        <f>MOD(R11,2)*4+FLOOR(R11/2,1)*6</f>
        <v>18</v>
      </c>
      <c r="T11" s="12" t="str">
        <f>IF(T10&lt;I7,"有效","无效")</f>
        <v>有效</v>
      </c>
    </row>
    <row r="12" spans="1:20" ht="20" customHeight="1">
      <c r="A12" s="22">
        <v>3</v>
      </c>
      <c r="B12" s="23" t="s">
        <v>5</v>
      </c>
      <c r="C12" s="24" t="s">
        <v>3</v>
      </c>
      <c r="D12" s="14">
        <f>LEN($B12)</f>
        <v>3</v>
      </c>
      <c r="E12" s="14">
        <f>LEN(C12)+3</f>
        <v>5</v>
      </c>
      <c r="F12" s="14">
        <f>MOD(D12,2)*4+FLOOR(D12/2,1)*6</f>
        <v>10</v>
      </c>
      <c r="G12" s="14">
        <f>MOD(E12,2)*4+FLOOR(E12/2,1)*6</f>
        <v>16</v>
      </c>
      <c r="H12" s="14">
        <v>12</v>
      </c>
      <c r="I12" s="14">
        <f>108-H12-G12-F12</f>
        <v>70</v>
      </c>
    </row>
    <row r="13" spans="1:20" ht="20" customHeight="1">
      <c r="A13" s="22"/>
      <c r="B13" s="6" t="str">
        <f>IF(H13&lt;=12,"有效","无效")</f>
        <v>有效</v>
      </c>
      <c r="C13" s="31" t="s">
        <v>439</v>
      </c>
      <c r="D13" s="32"/>
      <c r="E13" s="32"/>
      <c r="F13" s="32"/>
      <c r="G13" s="33"/>
      <c r="H13" s="4">
        <f>LEN(C13)</f>
        <v>7</v>
      </c>
      <c r="I13" s="11">
        <f>MOD(H13,2)*4+FLOOR(H13/2,1)*6</f>
        <v>22</v>
      </c>
      <c r="J13" s="12">
        <f>I13+I14</f>
        <v>40</v>
      </c>
      <c r="K13" s="20"/>
      <c r="L13" s="13" t="str">
        <f>IF(R13&lt;=12,"有效","无效")</f>
        <v>有效</v>
      </c>
      <c r="M13" s="32" t="s">
        <v>443</v>
      </c>
      <c r="N13" s="32"/>
      <c r="O13" s="32"/>
      <c r="P13" s="32"/>
      <c r="Q13" s="33"/>
      <c r="R13" s="10">
        <f>LEN(M13)</f>
        <v>8</v>
      </c>
      <c r="S13" s="10">
        <f>MOD(R13,2)*4+FLOOR(R13/2,1)*6</f>
        <v>24</v>
      </c>
      <c r="T13" s="12">
        <f>S13+S14</f>
        <v>52</v>
      </c>
    </row>
    <row r="14" spans="1:20" ht="20" customHeight="1">
      <c r="A14" s="22"/>
      <c r="B14" s="6" t="str">
        <f>IF(H14&lt;=12,"有效","无效")</f>
        <v>有效</v>
      </c>
      <c r="C14" s="31" t="s">
        <v>440</v>
      </c>
      <c r="D14" s="32"/>
      <c r="E14" s="32"/>
      <c r="F14" s="32"/>
      <c r="G14" s="33"/>
      <c r="H14" s="4">
        <f>LEN(C14)</f>
        <v>6</v>
      </c>
      <c r="I14" s="11">
        <f>MOD(H14,2)*4+FLOOR(H14/2,1)*6</f>
        <v>18</v>
      </c>
      <c r="J14" s="12" t="str">
        <f>IF(J13&lt;I12,"有效","无效")</f>
        <v>有效</v>
      </c>
      <c r="K14" s="20"/>
      <c r="L14" s="6" t="str">
        <f>IF(R14&lt;=12,"有效","无效")</f>
        <v>有效</v>
      </c>
      <c r="M14" s="31" t="s">
        <v>444</v>
      </c>
      <c r="N14" s="32"/>
      <c r="O14" s="32"/>
      <c r="P14" s="32"/>
      <c r="Q14" s="33"/>
      <c r="R14" s="10">
        <f>LEN(M14)</f>
        <v>9</v>
      </c>
      <c r="S14" s="10">
        <f>MOD(R14,2)*4+FLOOR(R14/2,1)*6</f>
        <v>28</v>
      </c>
      <c r="T14" s="12" t="str">
        <f>IF(T13&lt;I12,"有效","无效")</f>
        <v>有效</v>
      </c>
    </row>
    <row r="15" spans="1:20" ht="20" customHeight="1">
      <c r="A15" s="22"/>
      <c r="B15" s="6" t="str">
        <f>IF(H15&lt;=12,"有效","无效")</f>
        <v>有效</v>
      </c>
      <c r="C15" s="31" t="s">
        <v>441</v>
      </c>
      <c r="D15" s="32"/>
      <c r="E15" s="32"/>
      <c r="F15" s="32"/>
      <c r="G15" s="33"/>
      <c r="H15" s="4">
        <f>LEN(C15)</f>
        <v>4</v>
      </c>
      <c r="I15" s="11">
        <f>MOD(H15,2)*4+FLOOR(H15/2,1)*6</f>
        <v>12</v>
      </c>
      <c r="J15" s="12">
        <f>I15+I16</f>
        <v>34</v>
      </c>
      <c r="K15" s="20"/>
      <c r="L15" s="6" t="str">
        <f>IF(R15&lt;=12,"有效","无效")</f>
        <v>有效</v>
      </c>
      <c r="M15" s="31" t="s">
        <v>445</v>
      </c>
      <c r="N15" s="32"/>
      <c r="O15" s="32"/>
      <c r="P15" s="32"/>
      <c r="Q15" s="33"/>
      <c r="R15" s="10">
        <f>LEN(M15)</f>
        <v>5</v>
      </c>
      <c r="S15" s="10">
        <f>MOD(R15,2)*4+FLOOR(R15/2,1)*6</f>
        <v>16</v>
      </c>
      <c r="T15" s="12">
        <f>S15+S16</f>
        <v>34</v>
      </c>
    </row>
    <row r="16" spans="1:20" ht="20" customHeight="1">
      <c r="A16" s="22"/>
      <c r="B16" s="6" t="str">
        <f>IF(H16&lt;=12,"有效","无效")</f>
        <v>有效</v>
      </c>
      <c r="C16" s="31" t="s">
        <v>442</v>
      </c>
      <c r="D16" s="32"/>
      <c r="E16" s="32"/>
      <c r="F16" s="32"/>
      <c r="G16" s="33"/>
      <c r="H16" s="4">
        <f>LEN(C16)</f>
        <v>7</v>
      </c>
      <c r="I16" s="11">
        <f>MOD(H16,2)*4+FLOOR(H16/2,1)*6</f>
        <v>22</v>
      </c>
      <c r="J16" s="12" t="str">
        <f>IF(J15&lt;I12,"有效","无效")</f>
        <v>有效</v>
      </c>
      <c r="K16" s="20"/>
      <c r="L16" s="6" t="str">
        <f>IF(R16&lt;=12,"有效","无效")</f>
        <v>有效</v>
      </c>
      <c r="M16" s="31" t="s">
        <v>446</v>
      </c>
      <c r="N16" s="32"/>
      <c r="O16" s="32"/>
      <c r="P16" s="32"/>
      <c r="Q16" s="33"/>
      <c r="R16" s="10">
        <f>LEN(M16)</f>
        <v>6</v>
      </c>
      <c r="S16" s="10">
        <f>MOD(R16,2)*4+FLOOR(R16/2,1)*6</f>
        <v>18</v>
      </c>
      <c r="T16" s="12" t="str">
        <f>IF(T15&lt;I12,"有效","无效")</f>
        <v>有效</v>
      </c>
    </row>
    <row r="17" spans="1:20" ht="20" customHeight="1">
      <c r="A17" s="22">
        <v>4</v>
      </c>
      <c r="B17" s="23" t="s">
        <v>6</v>
      </c>
      <c r="C17" s="24" t="s">
        <v>7</v>
      </c>
      <c r="D17" s="14">
        <f>LEN($B17)</f>
        <v>3</v>
      </c>
      <c r="E17" s="14">
        <f>LEN(C17)+3</f>
        <v>5</v>
      </c>
      <c r="F17" s="14">
        <f>MOD(D17,2)*4+FLOOR(D17/2,1)*6</f>
        <v>10</v>
      </c>
      <c r="G17" s="14">
        <f>MOD(E17,2)*4+FLOOR(E17/2,1)*6</f>
        <v>16</v>
      </c>
      <c r="H17" s="14">
        <v>12</v>
      </c>
      <c r="I17" s="14">
        <f>108-H17-G17-F17</f>
        <v>70</v>
      </c>
    </row>
    <row r="18" spans="1:20" ht="20" customHeight="1">
      <c r="A18" s="22"/>
      <c r="B18" s="6" t="str">
        <f>IF(H18&lt;=12,"有效","无效")</f>
        <v>有效</v>
      </c>
      <c r="C18" s="31" t="s">
        <v>447</v>
      </c>
      <c r="D18" s="32"/>
      <c r="E18" s="32"/>
      <c r="F18" s="32"/>
      <c r="G18" s="33"/>
      <c r="H18" s="4">
        <f>LEN(C18)</f>
        <v>9</v>
      </c>
      <c r="I18" s="11">
        <f>MOD(H18,2)*4+FLOOR(H18/2,1)*6</f>
        <v>28</v>
      </c>
      <c r="J18" s="12">
        <f>I18+I19</f>
        <v>56</v>
      </c>
      <c r="K18" s="20"/>
      <c r="L18" s="13" t="str">
        <f>IF(R18&lt;=12,"有效","无效")</f>
        <v>有效</v>
      </c>
      <c r="M18" s="32" t="s">
        <v>451</v>
      </c>
      <c r="N18" s="32"/>
      <c r="O18" s="32"/>
      <c r="P18" s="32"/>
      <c r="Q18" s="33"/>
      <c r="R18" s="10">
        <f>LEN(M18)</f>
        <v>6</v>
      </c>
      <c r="S18" s="10">
        <f>MOD(R18,2)*4+FLOOR(R18/2,1)*6</f>
        <v>18</v>
      </c>
      <c r="T18" s="12">
        <f>S18+S19</f>
        <v>52</v>
      </c>
    </row>
    <row r="19" spans="1:20" ht="20" customHeight="1">
      <c r="A19" s="22"/>
      <c r="B19" s="6" t="str">
        <f>IF(H19&lt;=12,"有效","无效")</f>
        <v>有效</v>
      </c>
      <c r="C19" s="31" t="s">
        <v>448</v>
      </c>
      <c r="D19" s="32"/>
      <c r="E19" s="32"/>
      <c r="F19" s="32"/>
      <c r="G19" s="33"/>
      <c r="H19" s="4">
        <f>LEN(C19)</f>
        <v>9</v>
      </c>
      <c r="I19" s="11">
        <f>MOD(H19,2)*4+FLOOR(H19/2,1)*6</f>
        <v>28</v>
      </c>
      <c r="J19" s="12" t="str">
        <f>IF(J18&lt;I17,"有效","无效")</f>
        <v>有效</v>
      </c>
      <c r="K19" s="20"/>
      <c r="L19" s="6" t="str">
        <f>IF(R19&lt;=12,"有效","无效")</f>
        <v>有效</v>
      </c>
      <c r="M19" s="31" t="s">
        <v>452</v>
      </c>
      <c r="N19" s="32"/>
      <c r="O19" s="32"/>
      <c r="P19" s="32"/>
      <c r="Q19" s="33"/>
      <c r="R19" s="10">
        <f>LEN(M19)</f>
        <v>11</v>
      </c>
      <c r="S19" s="10">
        <f>MOD(R19,2)*4+FLOOR(R19/2,1)*6</f>
        <v>34</v>
      </c>
      <c r="T19" s="12" t="str">
        <f>IF(T18&lt;I17,"有效","无效")</f>
        <v>有效</v>
      </c>
    </row>
    <row r="20" spans="1:20" ht="20" customHeight="1">
      <c r="A20" s="22"/>
      <c r="B20" s="6" t="str">
        <f>IF(H20&lt;=12,"有效","无效")</f>
        <v>有效</v>
      </c>
      <c r="C20" s="31" t="s">
        <v>449</v>
      </c>
      <c r="D20" s="32"/>
      <c r="E20" s="32"/>
      <c r="F20" s="32"/>
      <c r="G20" s="33"/>
      <c r="H20" s="4">
        <f>LEN(C20)</f>
        <v>5</v>
      </c>
      <c r="I20" s="11">
        <f>MOD(H20,2)*4+FLOOR(H20/2,1)*6</f>
        <v>16</v>
      </c>
      <c r="J20" s="12">
        <f>I20+I21</f>
        <v>38</v>
      </c>
      <c r="K20" s="20"/>
      <c r="L20" s="6" t="str">
        <f>IF(R20&lt;=12,"有效","无效")</f>
        <v>有效</v>
      </c>
      <c r="M20" s="31" t="s">
        <v>453</v>
      </c>
      <c r="N20" s="32"/>
      <c r="O20" s="32"/>
      <c r="P20" s="32"/>
      <c r="Q20" s="33"/>
      <c r="R20" s="10">
        <f>LEN(M20)</f>
        <v>7</v>
      </c>
      <c r="S20" s="10">
        <f>MOD(R20,2)*4+FLOOR(R20/2,1)*6</f>
        <v>22</v>
      </c>
      <c r="T20" s="12">
        <f>S20+S21</f>
        <v>50</v>
      </c>
    </row>
    <row r="21" spans="1:20" ht="20" customHeight="1">
      <c r="A21" s="22"/>
      <c r="B21" s="6" t="str">
        <f>IF(H21&lt;=12,"有效","无效")</f>
        <v>有效</v>
      </c>
      <c r="C21" s="31" t="s">
        <v>450</v>
      </c>
      <c r="D21" s="32"/>
      <c r="E21" s="32"/>
      <c r="F21" s="32"/>
      <c r="G21" s="33"/>
      <c r="H21" s="4">
        <f>LEN(C21)</f>
        <v>7</v>
      </c>
      <c r="I21" s="11">
        <f>MOD(H21,2)*4+FLOOR(H21/2,1)*6</f>
        <v>22</v>
      </c>
      <c r="J21" s="12" t="str">
        <f>IF(J20&lt;I17,"有效","无效")</f>
        <v>有效</v>
      </c>
      <c r="K21" s="20"/>
      <c r="L21" s="6" t="str">
        <f>IF(R21&lt;=12,"有效","无效")</f>
        <v>有效</v>
      </c>
      <c r="M21" s="31" t="s">
        <v>454</v>
      </c>
      <c r="N21" s="32"/>
      <c r="O21" s="32"/>
      <c r="P21" s="32"/>
      <c r="Q21" s="33"/>
      <c r="R21" s="10">
        <f>LEN(M21)</f>
        <v>9</v>
      </c>
      <c r="S21" s="10">
        <f>MOD(R21,2)*4+FLOOR(R21/2,1)*6</f>
        <v>28</v>
      </c>
      <c r="T21" s="12" t="str">
        <f>IF(T20&lt;I17,"有效","无效")</f>
        <v>有效</v>
      </c>
    </row>
    <row r="22" spans="1:20" ht="20" customHeight="1">
      <c r="A22" s="22">
        <v>5</v>
      </c>
      <c r="B22" s="23" t="s">
        <v>8</v>
      </c>
      <c r="C22" s="24" t="s">
        <v>9</v>
      </c>
      <c r="D22" s="14">
        <f>LEN($B22)</f>
        <v>3</v>
      </c>
      <c r="E22" s="14">
        <f>LEN(C22)+3</f>
        <v>5</v>
      </c>
      <c r="F22" s="14">
        <f>MOD(D22,2)*4+FLOOR(D22/2,1)*6</f>
        <v>10</v>
      </c>
      <c r="G22" s="14">
        <f>MOD(E22,2)*4+FLOOR(E22/2,1)*6</f>
        <v>16</v>
      </c>
      <c r="H22" s="14">
        <v>12</v>
      </c>
      <c r="I22" s="14">
        <f>108-H22-G22-F22</f>
        <v>70</v>
      </c>
    </row>
    <row r="23" spans="1:20" ht="20" customHeight="1">
      <c r="A23" s="22"/>
      <c r="B23" s="6" t="str">
        <f>IF(H23&lt;=12,"有效","无效")</f>
        <v>有效</v>
      </c>
      <c r="C23" s="31" t="s">
        <v>458</v>
      </c>
      <c r="D23" s="32"/>
      <c r="E23" s="32"/>
      <c r="F23" s="32"/>
      <c r="G23" s="33"/>
      <c r="H23" s="4">
        <f>LEN(C23)</f>
        <v>9</v>
      </c>
      <c r="I23" s="11">
        <f>MOD(H23,2)*4+FLOOR(H23/2,1)*6</f>
        <v>28</v>
      </c>
      <c r="J23" s="12">
        <f>I23+I24</f>
        <v>58</v>
      </c>
      <c r="K23" s="20"/>
      <c r="L23" s="13" t="str">
        <f>IF(R23&lt;=12,"有效","无效")</f>
        <v>有效</v>
      </c>
      <c r="M23" s="32" t="s">
        <v>2248</v>
      </c>
      <c r="N23" s="32"/>
      <c r="O23" s="32"/>
      <c r="P23" s="32"/>
      <c r="Q23" s="33"/>
      <c r="R23" s="10">
        <f>LEN(M23)</f>
        <v>5</v>
      </c>
      <c r="S23" s="10">
        <f>MOD(R23,2)*4+FLOOR(R23/2,1)*6</f>
        <v>16</v>
      </c>
      <c r="T23" s="12">
        <f>S23+S24</f>
        <v>34</v>
      </c>
    </row>
    <row r="24" spans="1:20" ht="20" customHeight="1">
      <c r="A24" s="22"/>
      <c r="B24" s="6" t="str">
        <f>IF(H24&lt;=12,"有效","无效")</f>
        <v>有效</v>
      </c>
      <c r="C24" s="31" t="s">
        <v>457</v>
      </c>
      <c r="D24" s="32"/>
      <c r="E24" s="32"/>
      <c r="F24" s="32"/>
      <c r="G24" s="33"/>
      <c r="H24" s="4">
        <f>LEN(C24)</f>
        <v>10</v>
      </c>
      <c r="I24" s="11">
        <f>MOD(H24,2)*4+FLOOR(H24/2,1)*6</f>
        <v>30</v>
      </c>
      <c r="J24" s="12" t="str">
        <f>IF(J23&lt;I22,"有效","无效")</f>
        <v>有效</v>
      </c>
      <c r="K24" s="20"/>
      <c r="L24" s="6" t="str">
        <f>IF(R24&lt;=12,"有效","无效")</f>
        <v>有效</v>
      </c>
      <c r="M24" s="31" t="s">
        <v>2249</v>
      </c>
      <c r="N24" s="32"/>
      <c r="O24" s="32"/>
      <c r="P24" s="32"/>
      <c r="Q24" s="33"/>
      <c r="R24" s="10">
        <f>LEN(M24)</f>
        <v>6</v>
      </c>
      <c r="S24" s="10">
        <f>MOD(R24,2)*4+FLOOR(R24/2,1)*6</f>
        <v>18</v>
      </c>
      <c r="T24" s="12" t="str">
        <f>IF(T23&lt;I22,"有效","无效")</f>
        <v>有效</v>
      </c>
    </row>
    <row r="25" spans="1:20" ht="20" customHeight="1">
      <c r="A25" s="22"/>
      <c r="B25" s="6" t="str">
        <f>IF(H25&lt;=12,"有效","无效")</f>
        <v>有效</v>
      </c>
      <c r="C25" s="31" t="s">
        <v>455</v>
      </c>
      <c r="D25" s="32"/>
      <c r="E25" s="32"/>
      <c r="F25" s="32"/>
      <c r="G25" s="33"/>
      <c r="H25" s="4">
        <f>LEN(C25)</f>
        <v>5</v>
      </c>
      <c r="I25" s="11">
        <f>MOD(H25,2)*4+FLOOR(H25/2,1)*6</f>
        <v>16</v>
      </c>
      <c r="J25" s="12">
        <f>I25+I26</f>
        <v>50</v>
      </c>
      <c r="K25" s="20"/>
      <c r="L25" s="6" t="str">
        <f>IF(R25&lt;=12,"有效","无效")</f>
        <v>有效</v>
      </c>
      <c r="M25" s="31" t="s">
        <v>2247</v>
      </c>
      <c r="N25" s="32"/>
      <c r="O25" s="32"/>
      <c r="P25" s="32"/>
      <c r="Q25" s="33"/>
      <c r="R25" s="10">
        <f>LEN(M25)</f>
        <v>11</v>
      </c>
      <c r="S25" s="10">
        <f>MOD(R25,2)*4+FLOOR(R25/2,1)*6</f>
        <v>34</v>
      </c>
      <c r="T25" s="12">
        <f>S25+S26</f>
        <v>56</v>
      </c>
    </row>
    <row r="26" spans="1:20" ht="20" customHeight="1">
      <c r="A26" s="22"/>
      <c r="B26" s="6" t="str">
        <f>IF(H26&lt;=12,"有效","无效")</f>
        <v>有效</v>
      </c>
      <c r="C26" s="31" t="s">
        <v>456</v>
      </c>
      <c r="D26" s="32"/>
      <c r="E26" s="32"/>
      <c r="F26" s="32"/>
      <c r="G26" s="33"/>
      <c r="H26" s="4">
        <f>LEN(C26)</f>
        <v>11</v>
      </c>
      <c r="I26" s="11">
        <f>MOD(H26,2)*4+FLOOR(H26/2,1)*6</f>
        <v>34</v>
      </c>
      <c r="J26" s="12" t="str">
        <f>IF(J25&lt;I22,"有效","无效")</f>
        <v>有效</v>
      </c>
      <c r="K26" s="20"/>
      <c r="L26" s="6" t="str">
        <f>IF(R26&lt;=12,"有效","无效")</f>
        <v>有效</v>
      </c>
      <c r="M26" s="31" t="s">
        <v>459</v>
      </c>
      <c r="N26" s="32"/>
      <c r="O26" s="32"/>
      <c r="P26" s="32"/>
      <c r="Q26" s="33"/>
      <c r="R26" s="10">
        <f>LEN(M26)</f>
        <v>7</v>
      </c>
      <c r="S26" s="10">
        <f>MOD(R26,2)*4+FLOOR(R26/2,1)*6</f>
        <v>22</v>
      </c>
      <c r="T26" s="12" t="str">
        <f>IF(T25&lt;I22,"有效","无效")</f>
        <v>有效</v>
      </c>
    </row>
    <row r="27" spans="1:20" ht="20" customHeight="1">
      <c r="A27" s="22">
        <v>6</v>
      </c>
      <c r="B27" s="23" t="s">
        <v>10</v>
      </c>
      <c r="C27" s="24" t="s">
        <v>9</v>
      </c>
      <c r="D27" s="14">
        <f>LEN($B27)</f>
        <v>3</v>
      </c>
      <c r="E27" s="14">
        <f>LEN(C27)+3</f>
        <v>5</v>
      </c>
      <c r="F27" s="14">
        <f>MOD(D27,2)*4+FLOOR(D27/2,1)*6</f>
        <v>10</v>
      </c>
      <c r="G27" s="14">
        <f>MOD(E27,2)*4+FLOOR(E27/2,1)*6</f>
        <v>16</v>
      </c>
      <c r="H27" s="14">
        <v>12</v>
      </c>
      <c r="I27" s="14">
        <f>108-H27-G27-F27</f>
        <v>70</v>
      </c>
    </row>
    <row r="28" spans="1:20" ht="20" customHeight="1">
      <c r="A28" s="22"/>
      <c r="B28" s="6" t="str">
        <f>IF(H28&lt;=12,"有效","无效")</f>
        <v>有效</v>
      </c>
      <c r="C28" s="31" t="s">
        <v>460</v>
      </c>
      <c r="D28" s="32"/>
      <c r="E28" s="32"/>
      <c r="F28" s="32"/>
      <c r="G28" s="33"/>
      <c r="H28" s="4">
        <f>LEN(C28)</f>
        <v>4</v>
      </c>
      <c r="I28" s="11">
        <f>MOD(H28,2)*4+FLOOR(H28/2,1)*6</f>
        <v>12</v>
      </c>
      <c r="J28" s="12">
        <f>I28+I29</f>
        <v>30</v>
      </c>
      <c r="K28" s="20"/>
      <c r="L28" s="13" t="str">
        <f>IF(R28&lt;=12,"有效","无效")</f>
        <v>有效</v>
      </c>
      <c r="M28" s="35" t="s">
        <v>464</v>
      </c>
      <c r="N28" s="35"/>
      <c r="O28" s="35"/>
      <c r="P28" s="35"/>
      <c r="Q28" s="36"/>
      <c r="R28" s="10">
        <f>LEN(M28)</f>
        <v>5</v>
      </c>
      <c r="S28" s="10">
        <f>MOD(R28,2)*4+FLOOR(R28/2,1)*6</f>
        <v>16</v>
      </c>
      <c r="T28" s="12">
        <f>S28+S29</f>
        <v>46</v>
      </c>
    </row>
    <row r="29" spans="1:20" ht="20" customHeight="1">
      <c r="A29" s="22"/>
      <c r="B29" s="6" t="str">
        <f>IF(H29&lt;=12,"有效","无效")</f>
        <v>有效</v>
      </c>
      <c r="C29" s="31" t="s">
        <v>461</v>
      </c>
      <c r="D29" s="32"/>
      <c r="E29" s="32"/>
      <c r="F29" s="32"/>
      <c r="G29" s="33"/>
      <c r="H29" s="4">
        <f>LEN(C29)</f>
        <v>6</v>
      </c>
      <c r="I29" s="11">
        <f>MOD(H29,2)*4+FLOOR(H29/2,1)*6</f>
        <v>18</v>
      </c>
      <c r="J29" s="12" t="str">
        <f>IF(J28&lt;I27,"有效","无效")</f>
        <v>有效</v>
      </c>
      <c r="K29" s="20"/>
      <c r="L29" s="6" t="str">
        <f>IF(R29&lt;=12,"有效","无效")</f>
        <v>有效</v>
      </c>
      <c r="M29" s="34" t="s">
        <v>2250</v>
      </c>
      <c r="N29" s="35"/>
      <c r="O29" s="35"/>
      <c r="P29" s="35"/>
      <c r="Q29" s="36"/>
      <c r="R29" s="10">
        <f>LEN(M29)</f>
        <v>10</v>
      </c>
      <c r="S29" s="10">
        <f>MOD(R29,2)*4+FLOOR(R29/2,1)*6</f>
        <v>30</v>
      </c>
      <c r="T29" s="12" t="str">
        <f>IF(T28&lt;I27,"有效","无效")</f>
        <v>有效</v>
      </c>
    </row>
    <row r="30" spans="1:20" ht="20" customHeight="1">
      <c r="A30" s="22"/>
      <c r="B30" s="6" t="str">
        <f>IF(H30&lt;=12,"有效","无效")</f>
        <v>有效</v>
      </c>
      <c r="C30" s="31" t="s">
        <v>463</v>
      </c>
      <c r="D30" s="32"/>
      <c r="E30" s="32"/>
      <c r="F30" s="32"/>
      <c r="G30" s="33"/>
      <c r="H30" s="4">
        <f>LEN(C30)</f>
        <v>8</v>
      </c>
      <c r="I30" s="11">
        <f>MOD(H30,2)*4+FLOOR(H30/2,1)*6</f>
        <v>24</v>
      </c>
      <c r="J30" s="12">
        <f>I30+I31</f>
        <v>52</v>
      </c>
      <c r="K30" s="20"/>
      <c r="L30" s="6" t="str">
        <f>IF(R30&lt;=12,"有效","无效")</f>
        <v>有效</v>
      </c>
      <c r="M30" s="34" t="s">
        <v>2252</v>
      </c>
      <c r="N30" s="35"/>
      <c r="O30" s="35"/>
      <c r="P30" s="35"/>
      <c r="Q30" s="36"/>
      <c r="R30" s="10">
        <f>LEN(M30)</f>
        <v>3</v>
      </c>
      <c r="S30" s="10">
        <f>MOD(R30,2)*4+FLOOR(R30/2,1)*6</f>
        <v>10</v>
      </c>
      <c r="T30" s="12">
        <f>S30+S31</f>
        <v>26</v>
      </c>
    </row>
    <row r="31" spans="1:20" ht="20" customHeight="1">
      <c r="A31" s="22"/>
      <c r="B31" s="6" t="str">
        <f>IF(H31&lt;=12,"有效","无效")</f>
        <v>有效</v>
      </c>
      <c r="C31" s="31" t="s">
        <v>462</v>
      </c>
      <c r="D31" s="32"/>
      <c r="E31" s="32"/>
      <c r="F31" s="32"/>
      <c r="G31" s="33"/>
      <c r="H31" s="4">
        <f>LEN(C31)</f>
        <v>9</v>
      </c>
      <c r="I31" s="11">
        <f>MOD(H31,2)*4+FLOOR(H31/2,1)*6</f>
        <v>28</v>
      </c>
      <c r="J31" s="12" t="str">
        <f>IF(J30&lt;I27,"有效","无效")</f>
        <v>有效</v>
      </c>
      <c r="K31" s="20"/>
      <c r="L31" s="6" t="str">
        <f>IF(R31&lt;=12,"有效","无效")</f>
        <v>有效</v>
      </c>
      <c r="M31" s="34" t="s">
        <v>2251</v>
      </c>
      <c r="N31" s="35"/>
      <c r="O31" s="35"/>
      <c r="P31" s="35"/>
      <c r="Q31" s="36"/>
      <c r="R31" s="10">
        <f>LEN(M31)</f>
        <v>5</v>
      </c>
      <c r="S31" s="10">
        <f>MOD(R31,2)*4+FLOOR(R31/2,1)*6</f>
        <v>16</v>
      </c>
      <c r="T31" s="12" t="str">
        <f>IF(T30&lt;I27,"有效","无效")</f>
        <v>有效</v>
      </c>
    </row>
    <row r="32" spans="1:20" ht="20" customHeight="1">
      <c r="A32" s="22">
        <v>7</v>
      </c>
      <c r="B32" s="23" t="s">
        <v>11</v>
      </c>
      <c r="C32" s="24" t="s">
        <v>12</v>
      </c>
      <c r="D32" s="14">
        <f>LEN($B32)</f>
        <v>3</v>
      </c>
      <c r="E32" s="14">
        <f>LEN(C32)+3</f>
        <v>5</v>
      </c>
      <c r="F32" s="14">
        <f>MOD(D32,2)*4+FLOOR(D32/2,1)*6</f>
        <v>10</v>
      </c>
      <c r="G32" s="14">
        <f>MOD(E32,2)*4+FLOOR(E32/2,1)*6</f>
        <v>16</v>
      </c>
      <c r="H32" s="14">
        <v>12</v>
      </c>
      <c r="I32" s="14">
        <f>108-H32-G32-F32</f>
        <v>70</v>
      </c>
      <c r="J32" s="30"/>
    </row>
    <row r="33" spans="1:20" ht="20" customHeight="1">
      <c r="A33" s="22"/>
      <c r="B33" s="6" t="str">
        <f>IF(H33&lt;=12,"有效","无效")</f>
        <v>有效</v>
      </c>
      <c r="C33" s="31" t="s">
        <v>2063</v>
      </c>
      <c r="D33" s="32"/>
      <c r="E33" s="32"/>
      <c r="F33" s="32"/>
      <c r="G33" s="33"/>
      <c r="H33" s="4">
        <f>LEN(C33)</f>
        <v>9</v>
      </c>
      <c r="I33" s="11">
        <f>MOD(H33,2)*4+FLOOR(H33/2,1)*6</f>
        <v>28</v>
      </c>
      <c r="J33" s="12">
        <f>I33+I34</f>
        <v>56</v>
      </c>
      <c r="K33" s="20"/>
      <c r="L33" s="13" t="str">
        <f>IF(R33&lt;=12,"有效","无效")</f>
        <v>有效</v>
      </c>
      <c r="M33" s="35" t="s">
        <v>465</v>
      </c>
      <c r="N33" s="35"/>
      <c r="O33" s="35"/>
      <c r="P33" s="35"/>
      <c r="Q33" s="36"/>
      <c r="R33" s="10">
        <f>LEN(M33)</f>
        <v>8</v>
      </c>
      <c r="S33" s="10">
        <f>MOD(R33,2)*4+FLOOR(R33/2,1)*6</f>
        <v>24</v>
      </c>
      <c r="T33" s="12">
        <f>S33+S34</f>
        <v>60</v>
      </c>
    </row>
    <row r="34" spans="1:20" ht="20" customHeight="1">
      <c r="A34" s="22"/>
      <c r="B34" s="6" t="str">
        <f>IF(H34&lt;=12,"有效","无效")</f>
        <v>有效</v>
      </c>
      <c r="C34" s="31" t="s">
        <v>2064</v>
      </c>
      <c r="D34" s="32"/>
      <c r="E34" s="32"/>
      <c r="F34" s="32"/>
      <c r="G34" s="33"/>
      <c r="H34" s="4">
        <f>LEN(C34)</f>
        <v>9</v>
      </c>
      <c r="I34" s="11">
        <f>MOD(H34,2)*4+FLOOR(H34/2,1)*6</f>
        <v>28</v>
      </c>
      <c r="J34" s="12" t="str">
        <f>IF(J33&lt;I32,"有效","无效")</f>
        <v>有效</v>
      </c>
      <c r="K34" s="20"/>
      <c r="L34" s="6" t="str">
        <f>IF(R34&lt;=12,"有效","无效")</f>
        <v>有效</v>
      </c>
      <c r="M34" s="34" t="s">
        <v>2253</v>
      </c>
      <c r="N34" s="35"/>
      <c r="O34" s="35"/>
      <c r="P34" s="35"/>
      <c r="Q34" s="36"/>
      <c r="R34" s="10">
        <f>LEN(M34)</f>
        <v>12</v>
      </c>
      <c r="S34" s="10">
        <f>MOD(R34,2)*4+FLOOR(R34/2,1)*6</f>
        <v>36</v>
      </c>
      <c r="T34" s="12" t="str">
        <f>IF(T33&lt;I32,"有效","无效")</f>
        <v>有效</v>
      </c>
    </row>
    <row r="35" spans="1:20" ht="20" customHeight="1">
      <c r="A35" s="22"/>
      <c r="B35" s="6" t="str">
        <f>IF(H35&lt;=12,"有效","无效")</f>
        <v>有效</v>
      </c>
      <c r="C35" s="31" t="s">
        <v>2066</v>
      </c>
      <c r="D35" s="32"/>
      <c r="E35" s="32"/>
      <c r="F35" s="32"/>
      <c r="G35" s="33"/>
      <c r="H35" s="4">
        <f>LEN(C35)</f>
        <v>4</v>
      </c>
      <c r="I35" s="11">
        <f>MOD(H35,2)*4+FLOOR(H35/2,1)*6</f>
        <v>12</v>
      </c>
      <c r="J35" s="12">
        <f>I35+I36</f>
        <v>34</v>
      </c>
      <c r="K35" s="20"/>
      <c r="L35" s="6" t="str">
        <f>IF(R35&lt;=12,"有效","无效")</f>
        <v>有效</v>
      </c>
      <c r="M35" s="34" t="s">
        <v>2254</v>
      </c>
      <c r="N35" s="35"/>
      <c r="O35" s="35"/>
      <c r="P35" s="35"/>
      <c r="Q35" s="36"/>
      <c r="R35" s="10">
        <f>LEN(M35)</f>
        <v>3</v>
      </c>
      <c r="S35" s="10">
        <f>MOD(R35,2)*4+FLOOR(R35/2,1)*6</f>
        <v>10</v>
      </c>
      <c r="T35" s="12">
        <f>S35+S36</f>
        <v>32</v>
      </c>
    </row>
    <row r="36" spans="1:20" ht="20" customHeight="1">
      <c r="A36" s="22"/>
      <c r="B36" s="6" t="str">
        <f>IF(H36&lt;=12,"有效","无效")</f>
        <v>有效</v>
      </c>
      <c r="C36" s="31" t="s">
        <v>2065</v>
      </c>
      <c r="D36" s="32"/>
      <c r="E36" s="32"/>
      <c r="F36" s="32"/>
      <c r="G36" s="33"/>
      <c r="H36" s="4">
        <f>LEN(C36)</f>
        <v>7</v>
      </c>
      <c r="I36" s="11">
        <f>MOD(H36,2)*4+FLOOR(H36/2,1)*6</f>
        <v>22</v>
      </c>
      <c r="J36" s="12" t="str">
        <f>IF(J35&lt;I32,"有效","无效")</f>
        <v>有效</v>
      </c>
      <c r="K36" s="20"/>
      <c r="L36" s="6" t="str">
        <f>IF(R36&lt;=12,"有效","无效")</f>
        <v>有效</v>
      </c>
      <c r="M36" s="34" t="s">
        <v>2065</v>
      </c>
      <c r="N36" s="35"/>
      <c r="O36" s="35"/>
      <c r="P36" s="35"/>
      <c r="Q36" s="36"/>
      <c r="R36" s="10">
        <f>LEN(M36)</f>
        <v>7</v>
      </c>
      <c r="S36" s="10">
        <f>MOD(R36,2)*4+FLOOR(R36/2,1)*6</f>
        <v>22</v>
      </c>
      <c r="T36" s="12" t="str">
        <f>IF(T35&lt;I32,"有效","无效")</f>
        <v>有效</v>
      </c>
    </row>
    <row r="37" spans="1:20" ht="20" customHeight="1">
      <c r="A37" s="22">
        <v>8</v>
      </c>
      <c r="B37" s="23" t="s">
        <v>13</v>
      </c>
      <c r="C37" s="24" t="s">
        <v>14</v>
      </c>
      <c r="D37" s="14">
        <f>LEN($B37)</f>
        <v>3</v>
      </c>
      <c r="E37" s="14">
        <f>LEN(C37)+3</f>
        <v>4</v>
      </c>
      <c r="F37" s="14">
        <f>MOD(D37,2)*4+FLOOR(D37/2,1)*6</f>
        <v>10</v>
      </c>
      <c r="G37" s="14">
        <f>MOD(E37,2)*4+FLOOR(E37/2,1)*6</f>
        <v>12</v>
      </c>
      <c r="H37" s="14">
        <v>12</v>
      </c>
      <c r="I37" s="14">
        <f>108-H37-G37-F37</f>
        <v>74</v>
      </c>
      <c r="J37" s="30"/>
    </row>
    <row r="38" spans="1:20" ht="20" customHeight="1">
      <c r="A38" s="22"/>
      <c r="B38" s="6" t="str">
        <f>IF(H38&lt;=12,"有效","无效")</f>
        <v>有效</v>
      </c>
      <c r="C38" s="31" t="s">
        <v>2060</v>
      </c>
      <c r="D38" s="32"/>
      <c r="E38" s="32"/>
      <c r="F38" s="32"/>
      <c r="G38" s="33"/>
      <c r="H38" s="4">
        <f>LEN(C38)</f>
        <v>11</v>
      </c>
      <c r="I38" s="11">
        <f>MOD(H38,2)*4+FLOOR(H38/2,1)*6</f>
        <v>34</v>
      </c>
      <c r="J38" s="12">
        <f>I38+I39</f>
        <v>68</v>
      </c>
      <c r="K38" s="20"/>
      <c r="L38" s="13" t="str">
        <f>IF(R38&lt;=12,"有效","无效")</f>
        <v>有效</v>
      </c>
      <c r="M38" s="32" t="s">
        <v>2255</v>
      </c>
      <c r="N38" s="32"/>
      <c r="O38" s="32"/>
      <c r="P38" s="32"/>
      <c r="Q38" s="33"/>
      <c r="R38" s="10">
        <f>LEN(M38)</f>
        <v>8</v>
      </c>
      <c r="S38" s="10">
        <f>MOD(R38,2)*4+FLOOR(R38/2,1)*6</f>
        <v>24</v>
      </c>
      <c r="T38" s="12">
        <f>S38+S39</f>
        <v>54</v>
      </c>
    </row>
    <row r="39" spans="1:20" ht="20" customHeight="1">
      <c r="A39" s="22"/>
      <c r="B39" s="6" t="str">
        <f>IF(H39&lt;=12,"有效","无效")</f>
        <v>有效</v>
      </c>
      <c r="C39" s="31" t="s">
        <v>2059</v>
      </c>
      <c r="D39" s="32"/>
      <c r="E39" s="32"/>
      <c r="F39" s="32"/>
      <c r="G39" s="33"/>
      <c r="H39" s="4">
        <f>LEN(C39)</f>
        <v>11</v>
      </c>
      <c r="I39" s="11">
        <f>MOD(H39,2)*4+FLOOR(H39/2,1)*6</f>
        <v>34</v>
      </c>
      <c r="J39" s="12" t="str">
        <f>IF(J38&lt;I37,"有效","无效")</f>
        <v>有效</v>
      </c>
      <c r="K39" s="20"/>
      <c r="L39" s="6" t="str">
        <f>IF(R39&lt;=12,"有效","无效")</f>
        <v>有效</v>
      </c>
      <c r="M39" s="31" t="s">
        <v>2256</v>
      </c>
      <c r="N39" s="32"/>
      <c r="O39" s="32"/>
      <c r="P39" s="32"/>
      <c r="Q39" s="33"/>
      <c r="R39" s="10">
        <f>LEN(M39)</f>
        <v>10</v>
      </c>
      <c r="S39" s="10">
        <f>MOD(R39,2)*4+FLOOR(R39/2,1)*6</f>
        <v>30</v>
      </c>
      <c r="T39" s="12" t="str">
        <f>IF(T38&lt;I37,"有效","无效")</f>
        <v>有效</v>
      </c>
    </row>
    <row r="40" spans="1:20" ht="20" customHeight="1">
      <c r="A40" s="22"/>
      <c r="B40" s="6" t="str">
        <f>IF(H40&lt;=12,"有效","无效")</f>
        <v>有效</v>
      </c>
      <c r="C40" s="31" t="s">
        <v>2062</v>
      </c>
      <c r="D40" s="32"/>
      <c r="E40" s="32"/>
      <c r="F40" s="32"/>
      <c r="G40" s="33"/>
      <c r="H40" s="4">
        <f>LEN(C40)</f>
        <v>5</v>
      </c>
      <c r="I40" s="11">
        <f>MOD(H40,2)*4+FLOOR(H40/2,1)*6</f>
        <v>16</v>
      </c>
      <c r="J40" s="12">
        <f>I40+I41</f>
        <v>38</v>
      </c>
      <c r="K40" s="20"/>
      <c r="L40" s="6" t="str">
        <f>IF(R40&lt;=12,"有效","无效")</f>
        <v>有效</v>
      </c>
      <c r="M40" s="31" t="s">
        <v>2258</v>
      </c>
      <c r="N40" s="32"/>
      <c r="O40" s="32"/>
      <c r="P40" s="32"/>
      <c r="Q40" s="33"/>
      <c r="R40" s="10">
        <f>LEN(M40)</f>
        <v>5</v>
      </c>
      <c r="S40" s="10">
        <f>MOD(R40,2)*4+FLOOR(R40/2,1)*6</f>
        <v>16</v>
      </c>
      <c r="T40" s="12">
        <f>S40+S41</f>
        <v>32</v>
      </c>
    </row>
    <row r="41" spans="1:20" ht="20" customHeight="1">
      <c r="A41" s="22"/>
      <c r="B41" s="6" t="str">
        <f>IF(H41&lt;=12,"有效","无效")</f>
        <v>有效</v>
      </c>
      <c r="C41" s="31" t="s">
        <v>2061</v>
      </c>
      <c r="D41" s="32"/>
      <c r="E41" s="32"/>
      <c r="F41" s="32"/>
      <c r="G41" s="33"/>
      <c r="H41" s="4">
        <f>LEN(C41)</f>
        <v>7</v>
      </c>
      <c r="I41" s="11">
        <f>MOD(H41,2)*4+FLOOR(H41/2,1)*6</f>
        <v>22</v>
      </c>
      <c r="J41" s="12" t="str">
        <f>IF(J40&lt;I37,"有效","无效")</f>
        <v>有效</v>
      </c>
      <c r="K41" s="20"/>
      <c r="L41" s="6" t="str">
        <f>IF(R41&lt;=12,"有效","无效")</f>
        <v>有效</v>
      </c>
      <c r="M41" s="31" t="s">
        <v>2257</v>
      </c>
      <c r="N41" s="32"/>
      <c r="O41" s="32"/>
      <c r="P41" s="32"/>
      <c r="Q41" s="33"/>
      <c r="R41" s="10">
        <f>LEN(M41)</f>
        <v>5</v>
      </c>
      <c r="S41" s="10">
        <f>MOD(R41,2)*4+FLOOR(R41/2,1)*6</f>
        <v>16</v>
      </c>
      <c r="T41" s="12" t="str">
        <f>IF(T40&lt;I37,"有效","无效")</f>
        <v>有效</v>
      </c>
    </row>
    <row r="42" spans="1:20" ht="20" customHeight="1">
      <c r="A42" s="22">
        <v>9</v>
      </c>
      <c r="B42" s="23" t="s">
        <v>15</v>
      </c>
      <c r="C42" s="24" t="s">
        <v>16</v>
      </c>
      <c r="D42" s="14">
        <f>LEN($B42)</f>
        <v>3</v>
      </c>
      <c r="E42" s="14">
        <f>LEN(C42)+3</f>
        <v>5</v>
      </c>
      <c r="F42" s="14">
        <f>MOD(D42,2)*4+FLOOR(D42/2,1)*6</f>
        <v>10</v>
      </c>
      <c r="G42" s="14">
        <f>MOD(E42,2)*4+FLOOR(E42/2,1)*6</f>
        <v>16</v>
      </c>
      <c r="H42" s="14">
        <v>12</v>
      </c>
      <c r="I42" s="14">
        <f>108-H42-G42-F42</f>
        <v>70</v>
      </c>
    </row>
    <row r="43" spans="1:20" ht="20" customHeight="1">
      <c r="A43" s="22"/>
      <c r="B43" s="6" t="str">
        <f>IF(H43&lt;=12,"有效","无效")</f>
        <v>有效</v>
      </c>
      <c r="C43" s="31" t="s">
        <v>466</v>
      </c>
      <c r="D43" s="32"/>
      <c r="E43" s="32"/>
      <c r="F43" s="32"/>
      <c r="G43" s="33"/>
      <c r="H43" s="4">
        <f>LEN(C43)</f>
        <v>6</v>
      </c>
      <c r="I43" s="11">
        <f>MOD(H43,2)*4+FLOOR(H43/2,1)*6</f>
        <v>18</v>
      </c>
      <c r="J43" s="12">
        <f>I43+I44</f>
        <v>46</v>
      </c>
      <c r="K43" s="20"/>
      <c r="L43" s="13" t="str">
        <f>IF(R43&lt;=12,"有效","无效")</f>
        <v>有效</v>
      </c>
      <c r="M43" s="32" t="s">
        <v>470</v>
      </c>
      <c r="N43" s="32"/>
      <c r="O43" s="32"/>
      <c r="P43" s="32"/>
      <c r="Q43" s="33"/>
      <c r="R43" s="10">
        <f>LEN(M43)</f>
        <v>8</v>
      </c>
      <c r="S43" s="10">
        <f>MOD(R43,2)*4+FLOOR(R43/2,1)*6</f>
        <v>24</v>
      </c>
      <c r="T43" s="12">
        <f>S43+S44</f>
        <v>46</v>
      </c>
    </row>
    <row r="44" spans="1:20" ht="20" customHeight="1">
      <c r="A44" s="22"/>
      <c r="B44" s="6" t="str">
        <f>IF(H44&lt;=12,"有效","无效")</f>
        <v>有效</v>
      </c>
      <c r="C44" s="31" t="s">
        <v>467</v>
      </c>
      <c r="D44" s="32"/>
      <c r="E44" s="32"/>
      <c r="F44" s="32"/>
      <c r="G44" s="33"/>
      <c r="H44" s="4">
        <f>LEN(C44)</f>
        <v>9</v>
      </c>
      <c r="I44" s="11">
        <f>MOD(H44,2)*4+FLOOR(H44/2,1)*6</f>
        <v>28</v>
      </c>
      <c r="J44" s="12" t="str">
        <f>IF(J43&lt;I42,"有效","无效")</f>
        <v>有效</v>
      </c>
      <c r="K44" s="20"/>
      <c r="L44" s="6" t="str">
        <f>IF(R44&lt;=12,"有效","无效")</f>
        <v>有效</v>
      </c>
      <c r="M44" s="31" t="s">
        <v>471</v>
      </c>
      <c r="N44" s="32"/>
      <c r="O44" s="32"/>
      <c r="P44" s="32"/>
      <c r="Q44" s="33"/>
      <c r="R44" s="10">
        <f>LEN(M44)</f>
        <v>7</v>
      </c>
      <c r="S44" s="10">
        <f>MOD(R44,2)*4+FLOOR(R44/2,1)*6</f>
        <v>22</v>
      </c>
      <c r="T44" s="12" t="str">
        <f>IF(T43&lt;I42,"有效","无效")</f>
        <v>有效</v>
      </c>
    </row>
    <row r="45" spans="1:20" ht="20" customHeight="1">
      <c r="A45" s="22"/>
      <c r="B45" s="6" t="str">
        <f>IF(H45&lt;=12,"有效","无效")</f>
        <v>有效</v>
      </c>
      <c r="C45" s="31" t="s">
        <v>468</v>
      </c>
      <c r="D45" s="32"/>
      <c r="E45" s="32"/>
      <c r="F45" s="32"/>
      <c r="G45" s="33"/>
      <c r="H45" s="4">
        <f>LEN(C45)</f>
        <v>3</v>
      </c>
      <c r="I45" s="11">
        <f>MOD(H45,2)*4+FLOOR(H45/2,1)*6</f>
        <v>10</v>
      </c>
      <c r="J45" s="12">
        <f>I45+I46</f>
        <v>28</v>
      </c>
      <c r="K45" s="20"/>
      <c r="L45" s="6" t="str">
        <f>IF(R45&lt;=12,"有效","无效")</f>
        <v>有效</v>
      </c>
      <c r="M45" s="31" t="s">
        <v>472</v>
      </c>
      <c r="N45" s="32"/>
      <c r="O45" s="32"/>
      <c r="P45" s="32"/>
      <c r="Q45" s="33"/>
      <c r="R45" s="10">
        <f>LEN(M45)</f>
        <v>4</v>
      </c>
      <c r="S45" s="10">
        <f>MOD(R45,2)*4+FLOOR(R45/2,1)*6</f>
        <v>12</v>
      </c>
      <c r="T45" s="12">
        <f>S45+S46</f>
        <v>30</v>
      </c>
    </row>
    <row r="46" spans="1:20" ht="20" customHeight="1">
      <c r="A46" s="22"/>
      <c r="B46" s="6" t="str">
        <f>IF(H46&lt;=12,"有效","无效")</f>
        <v>有效</v>
      </c>
      <c r="C46" s="31" t="s">
        <v>469</v>
      </c>
      <c r="D46" s="32"/>
      <c r="E46" s="32"/>
      <c r="F46" s="32"/>
      <c r="G46" s="33"/>
      <c r="H46" s="4">
        <f>LEN(C46)</f>
        <v>6</v>
      </c>
      <c r="I46" s="11">
        <f>MOD(H46,2)*4+FLOOR(H46/2,1)*6</f>
        <v>18</v>
      </c>
      <c r="J46" s="12" t="str">
        <f>IF(J45&lt;I42,"有效","无效")</f>
        <v>有效</v>
      </c>
      <c r="K46" s="20"/>
      <c r="L46" s="6" t="str">
        <f>IF(R46&lt;=12,"有效","无效")</f>
        <v>有效</v>
      </c>
      <c r="M46" s="31" t="s">
        <v>473</v>
      </c>
      <c r="N46" s="32"/>
      <c r="O46" s="32"/>
      <c r="P46" s="32"/>
      <c r="Q46" s="33"/>
      <c r="R46" s="10">
        <f>LEN(M46)</f>
        <v>6</v>
      </c>
      <c r="S46" s="10">
        <f>MOD(R46,2)*4+FLOOR(R46/2,1)*6</f>
        <v>18</v>
      </c>
      <c r="T46" s="12" t="str">
        <f>IF(T45&lt;I42,"有效","无效")</f>
        <v>有效</v>
      </c>
    </row>
    <row r="47" spans="1:20" ht="20" customHeight="1">
      <c r="A47" s="22">
        <v>10</v>
      </c>
      <c r="B47" s="23" t="s">
        <v>17</v>
      </c>
      <c r="C47" s="24" t="s">
        <v>18</v>
      </c>
      <c r="D47" s="14">
        <f>LEN($B47)</f>
        <v>3</v>
      </c>
      <c r="E47" s="14">
        <f>LEN(C47)+3</f>
        <v>6</v>
      </c>
      <c r="F47" s="14">
        <f>MOD(D47,2)*4+FLOOR(D47/2,1)*6</f>
        <v>10</v>
      </c>
      <c r="G47" s="14">
        <f>MOD(E47,2)*4+FLOOR(E47/2,1)*6</f>
        <v>18</v>
      </c>
      <c r="H47" s="14">
        <v>12</v>
      </c>
      <c r="I47" s="14">
        <f>108-H47-G47-F47</f>
        <v>68</v>
      </c>
    </row>
    <row r="48" spans="1:20" ht="20" customHeight="1">
      <c r="A48" s="22"/>
      <c r="B48" s="6" t="str">
        <f>IF(H48&lt;=12,"有效","无效")</f>
        <v>有效</v>
      </c>
      <c r="C48" s="31" t="s">
        <v>474</v>
      </c>
      <c r="D48" s="32"/>
      <c r="E48" s="32"/>
      <c r="F48" s="32"/>
      <c r="G48" s="33"/>
      <c r="H48" s="4">
        <f>LEN(C48)</f>
        <v>8</v>
      </c>
      <c r="I48" s="11">
        <f>MOD(H48,2)*4+FLOOR(H48/2,1)*6</f>
        <v>24</v>
      </c>
      <c r="J48" s="12">
        <f>I48+I49</f>
        <v>52</v>
      </c>
      <c r="K48" s="20"/>
      <c r="L48" s="13" t="str">
        <f>IF(R48&lt;=12,"有效","无效")</f>
        <v>有效</v>
      </c>
      <c r="M48" s="32" t="s">
        <v>478</v>
      </c>
      <c r="N48" s="32"/>
      <c r="O48" s="32"/>
      <c r="P48" s="32"/>
      <c r="Q48" s="33"/>
      <c r="R48" s="10">
        <f>LEN(M48)</f>
        <v>8</v>
      </c>
      <c r="S48" s="10">
        <f>MOD(R48,2)*4+FLOOR(R48/2,1)*6</f>
        <v>24</v>
      </c>
      <c r="T48" s="12">
        <f>S48+S49</f>
        <v>48</v>
      </c>
    </row>
    <row r="49" spans="1:20" ht="20" customHeight="1">
      <c r="A49" s="22"/>
      <c r="B49" s="6" t="str">
        <f>IF(H49&lt;=12,"有效","无效")</f>
        <v>有效</v>
      </c>
      <c r="C49" s="31" t="s">
        <v>475</v>
      </c>
      <c r="D49" s="32"/>
      <c r="E49" s="32"/>
      <c r="F49" s="32"/>
      <c r="G49" s="33"/>
      <c r="H49" s="4">
        <f>LEN(C49)</f>
        <v>9</v>
      </c>
      <c r="I49" s="11">
        <f>MOD(H49,2)*4+FLOOR(H49/2,1)*6</f>
        <v>28</v>
      </c>
      <c r="J49" s="12" t="str">
        <f>IF(J48&lt;I47,"有效","无效")</f>
        <v>有效</v>
      </c>
      <c r="K49" s="20"/>
      <c r="L49" s="6" t="str">
        <f>IF(R49&lt;=12,"有效","无效")</f>
        <v>有效</v>
      </c>
      <c r="M49" s="31" t="s">
        <v>479</v>
      </c>
      <c r="N49" s="32"/>
      <c r="O49" s="32"/>
      <c r="P49" s="32"/>
      <c r="Q49" s="33"/>
      <c r="R49" s="10">
        <f>LEN(M49)</f>
        <v>8</v>
      </c>
      <c r="S49" s="10">
        <f>MOD(R49,2)*4+FLOOR(R49/2,1)*6</f>
        <v>24</v>
      </c>
      <c r="T49" s="12" t="str">
        <f>IF(T48&lt;I47,"有效","无效")</f>
        <v>有效</v>
      </c>
    </row>
    <row r="50" spans="1:20" ht="20" customHeight="1">
      <c r="A50" s="22"/>
      <c r="B50" s="6" t="str">
        <f>IF(H50&lt;=12,"有效","无效")</f>
        <v>有效</v>
      </c>
      <c r="C50" s="31" t="s">
        <v>476</v>
      </c>
      <c r="D50" s="32"/>
      <c r="E50" s="32"/>
      <c r="F50" s="32"/>
      <c r="G50" s="33"/>
      <c r="H50" s="4">
        <f>LEN(C50)</f>
        <v>7</v>
      </c>
      <c r="I50" s="11">
        <f>MOD(H50,2)*4+FLOOR(H50/2,1)*6</f>
        <v>22</v>
      </c>
      <c r="J50" s="12">
        <f>I50+I51</f>
        <v>38</v>
      </c>
      <c r="K50" s="20"/>
      <c r="L50" s="6" t="str">
        <f>IF(R50&lt;=12,"有效","无效")</f>
        <v>有效</v>
      </c>
      <c r="M50" s="31" t="s">
        <v>480</v>
      </c>
      <c r="N50" s="32"/>
      <c r="O50" s="32"/>
      <c r="P50" s="32"/>
      <c r="Q50" s="33"/>
      <c r="R50" s="10">
        <f>LEN(M50)</f>
        <v>4</v>
      </c>
      <c r="S50" s="10">
        <f>MOD(R50,2)*4+FLOOR(R50/2,1)*6</f>
        <v>12</v>
      </c>
      <c r="T50" s="12">
        <f>S50+S51</f>
        <v>34</v>
      </c>
    </row>
    <row r="51" spans="1:20" ht="20" customHeight="1">
      <c r="A51" s="22"/>
      <c r="B51" s="6" t="str">
        <f>IF(H51&lt;=12,"有效","无效")</f>
        <v>有效</v>
      </c>
      <c r="C51" s="31" t="s">
        <v>477</v>
      </c>
      <c r="D51" s="32"/>
      <c r="E51" s="32"/>
      <c r="F51" s="32"/>
      <c r="G51" s="33"/>
      <c r="H51" s="4">
        <f>LEN(C51)</f>
        <v>5</v>
      </c>
      <c r="I51" s="11">
        <f>MOD(H51,2)*4+FLOOR(H51/2,1)*6</f>
        <v>16</v>
      </c>
      <c r="J51" s="12" t="str">
        <f>IF(J50&lt;I47,"有效","无效")</f>
        <v>有效</v>
      </c>
      <c r="K51" s="20"/>
      <c r="L51" s="6" t="str">
        <f>IF(R51&lt;=12,"有效","无效")</f>
        <v>有效</v>
      </c>
      <c r="M51" s="31" t="s">
        <v>481</v>
      </c>
      <c r="N51" s="32"/>
      <c r="O51" s="32"/>
      <c r="P51" s="32"/>
      <c r="Q51" s="33"/>
      <c r="R51" s="10">
        <f>LEN(M51)</f>
        <v>7</v>
      </c>
      <c r="S51" s="10">
        <f>MOD(R51,2)*4+FLOOR(R51/2,1)*6</f>
        <v>22</v>
      </c>
      <c r="T51" s="12" t="str">
        <f>IF(T50&lt;I47,"有效","无效")</f>
        <v>有效</v>
      </c>
    </row>
    <row r="52" spans="1:20" ht="20" customHeight="1">
      <c r="A52" s="22">
        <v>11</v>
      </c>
      <c r="B52" s="23" t="s">
        <v>19</v>
      </c>
      <c r="C52" s="24" t="s">
        <v>20</v>
      </c>
      <c r="D52" s="14">
        <f>LEN($B52)</f>
        <v>3</v>
      </c>
      <c r="E52" s="14">
        <f>LEN(C52)+3</f>
        <v>4</v>
      </c>
      <c r="F52" s="14">
        <f>MOD(D52,2)*4+FLOOR(D52/2,1)*6</f>
        <v>10</v>
      </c>
      <c r="G52" s="14">
        <f>MOD(E52,2)*4+FLOOR(E52/2,1)*6</f>
        <v>12</v>
      </c>
      <c r="H52" s="14">
        <v>12</v>
      </c>
      <c r="I52" s="14">
        <f>108-H52-G52-F52</f>
        <v>74</v>
      </c>
    </row>
    <row r="53" spans="1:20" ht="20" customHeight="1">
      <c r="A53" s="22"/>
      <c r="B53" s="6" t="str">
        <f>IF(H53&lt;=12,"有效","无效")</f>
        <v>有效</v>
      </c>
      <c r="C53" s="34" t="s">
        <v>553</v>
      </c>
      <c r="D53" s="35"/>
      <c r="E53" s="35"/>
      <c r="F53" s="35"/>
      <c r="G53" s="36"/>
      <c r="H53" s="4">
        <f>LEN(C53)</f>
        <v>7</v>
      </c>
      <c r="I53" s="11">
        <f>MOD(H53,2)*4+FLOOR(H53/2,1)*6</f>
        <v>22</v>
      </c>
      <c r="J53" s="12">
        <f>I53+I54</f>
        <v>50</v>
      </c>
      <c r="K53" s="20"/>
      <c r="L53" s="13" t="str">
        <f>IF(R53&lt;=12,"有效","无效")</f>
        <v>有效</v>
      </c>
      <c r="M53" s="35" t="s">
        <v>483</v>
      </c>
      <c r="N53" s="35"/>
      <c r="O53" s="35"/>
      <c r="P53" s="35"/>
      <c r="Q53" s="36"/>
      <c r="R53" s="10">
        <f>LEN(M53)</f>
        <v>8</v>
      </c>
      <c r="S53" s="10">
        <f>MOD(R53,2)*4+FLOOR(R53/2,1)*6</f>
        <v>24</v>
      </c>
      <c r="T53" s="12">
        <f>S53+S54</f>
        <v>52</v>
      </c>
    </row>
    <row r="54" spans="1:20" ht="20" customHeight="1">
      <c r="A54" s="22"/>
      <c r="B54" s="6" t="str">
        <f>IF(H54&lt;=12,"有效","无效")</f>
        <v>有效</v>
      </c>
      <c r="C54" s="34" t="s">
        <v>554</v>
      </c>
      <c r="D54" s="35"/>
      <c r="E54" s="35"/>
      <c r="F54" s="35"/>
      <c r="G54" s="36"/>
      <c r="H54" s="4">
        <f>LEN(C54)</f>
        <v>9</v>
      </c>
      <c r="I54" s="11">
        <f>MOD(H54,2)*4+FLOOR(H54/2,1)*6</f>
        <v>28</v>
      </c>
      <c r="J54" s="12" t="str">
        <f>IF(J53&lt;I52,"有效","无效")</f>
        <v>有效</v>
      </c>
      <c r="K54" s="20"/>
      <c r="L54" s="6" t="str">
        <f>IF(R54&lt;=12,"有效","无效")</f>
        <v>有效</v>
      </c>
      <c r="M54" s="34" t="s">
        <v>486</v>
      </c>
      <c r="N54" s="35"/>
      <c r="O54" s="35"/>
      <c r="P54" s="35"/>
      <c r="Q54" s="36"/>
      <c r="R54" s="10">
        <f>LEN(M54)</f>
        <v>9</v>
      </c>
      <c r="S54" s="10">
        <f>MOD(R54,2)*4+FLOOR(R54/2,1)*6</f>
        <v>28</v>
      </c>
      <c r="T54" s="12" t="str">
        <f>IF(T53&lt;I52,"有效","无效")</f>
        <v>有效</v>
      </c>
    </row>
    <row r="55" spans="1:20" ht="20" customHeight="1">
      <c r="A55" s="22"/>
      <c r="B55" s="6" t="str">
        <f>IF(H55&lt;=12,"有效","无效")</f>
        <v>有效</v>
      </c>
      <c r="C55" s="34" t="s">
        <v>555</v>
      </c>
      <c r="D55" s="35"/>
      <c r="E55" s="35"/>
      <c r="F55" s="35"/>
      <c r="G55" s="36"/>
      <c r="H55" s="4">
        <f>LEN(C55)</f>
        <v>11</v>
      </c>
      <c r="I55" s="11">
        <f>MOD(H55,2)*4+FLOOR(H55/2,1)*6</f>
        <v>34</v>
      </c>
      <c r="J55" s="12">
        <f>I55+I56</f>
        <v>62</v>
      </c>
      <c r="K55" s="20"/>
      <c r="L55" s="6" t="str">
        <f>IF(R55&lt;=12,"有效","无效")</f>
        <v>有效</v>
      </c>
      <c r="M55" s="34" t="s">
        <v>484</v>
      </c>
      <c r="N55" s="35"/>
      <c r="O55" s="35"/>
      <c r="P55" s="35"/>
      <c r="Q55" s="36"/>
      <c r="R55" s="10">
        <f>LEN(M55)</f>
        <v>5</v>
      </c>
      <c r="S55" s="10">
        <f>MOD(R55,2)*4+FLOOR(R55/2,1)*6</f>
        <v>16</v>
      </c>
      <c r="T55" s="12">
        <f>S55+S56</f>
        <v>40</v>
      </c>
    </row>
    <row r="56" spans="1:20" ht="20" customHeight="1">
      <c r="A56" s="22"/>
      <c r="B56" s="6" t="str">
        <f>IF(H56&lt;=12,"有效","无效")</f>
        <v>有效</v>
      </c>
      <c r="C56" s="34" t="s">
        <v>482</v>
      </c>
      <c r="D56" s="35"/>
      <c r="E56" s="35"/>
      <c r="F56" s="35"/>
      <c r="G56" s="36"/>
      <c r="H56" s="4">
        <f>LEN(C56)</f>
        <v>9</v>
      </c>
      <c r="I56" s="11">
        <f>MOD(H56,2)*4+FLOOR(H56/2,1)*6</f>
        <v>28</v>
      </c>
      <c r="J56" s="12" t="str">
        <f>IF(J55&lt;I52,"有效","无效")</f>
        <v>有效</v>
      </c>
      <c r="K56" s="20"/>
      <c r="L56" s="6" t="str">
        <f>IF(R56&lt;=12,"有效","无效")</f>
        <v>有效</v>
      </c>
      <c r="M56" s="34" t="s">
        <v>485</v>
      </c>
      <c r="N56" s="35"/>
      <c r="O56" s="35"/>
      <c r="P56" s="35"/>
      <c r="Q56" s="36"/>
      <c r="R56" s="10">
        <f>LEN(M56)</f>
        <v>8</v>
      </c>
      <c r="S56" s="10">
        <f>MOD(R56,2)*4+FLOOR(R56/2,1)*6</f>
        <v>24</v>
      </c>
      <c r="T56" s="12" t="str">
        <f>IF(T55&lt;I52,"有效","无效")</f>
        <v>有效</v>
      </c>
    </row>
    <row r="57" spans="1:20" ht="20" customHeight="1">
      <c r="A57" s="22">
        <v>12</v>
      </c>
      <c r="B57" s="23" t="s">
        <v>21</v>
      </c>
      <c r="C57" s="24" t="s">
        <v>22</v>
      </c>
      <c r="D57" s="14">
        <f>LEN($B57)</f>
        <v>3</v>
      </c>
      <c r="E57" s="14">
        <f>LEN(C57)+3</f>
        <v>5</v>
      </c>
      <c r="F57" s="14">
        <f>MOD(D57,2)*4+FLOOR(D57/2,1)*6</f>
        <v>10</v>
      </c>
      <c r="G57" s="14">
        <f>MOD(E57,2)*4+FLOOR(E57/2,1)*6</f>
        <v>16</v>
      </c>
      <c r="H57" s="14">
        <v>12</v>
      </c>
      <c r="I57" s="14">
        <f>108-H57-G57-F57</f>
        <v>70</v>
      </c>
      <c r="J57" s="30"/>
    </row>
    <row r="58" spans="1:20" ht="20" customHeight="1">
      <c r="A58" s="22"/>
      <c r="B58" s="6" t="str">
        <f>IF(H58&lt;=12,"有效","无效")</f>
        <v>有效</v>
      </c>
      <c r="C58" s="31" t="s">
        <v>2069</v>
      </c>
      <c r="D58" s="32"/>
      <c r="E58" s="32"/>
      <c r="F58" s="32"/>
      <c r="G58" s="33"/>
      <c r="H58" s="4">
        <f>LEN(C58)</f>
        <v>5</v>
      </c>
      <c r="I58" s="11">
        <f>MOD(H58,2)*4+FLOOR(H58/2,1)*6</f>
        <v>16</v>
      </c>
      <c r="J58" s="12">
        <f>I58+I59</f>
        <v>32</v>
      </c>
      <c r="K58" s="20"/>
      <c r="L58" s="13" t="str">
        <f>IF(R58&lt;=12,"有效","无效")</f>
        <v>有效</v>
      </c>
      <c r="M58" s="35" t="s">
        <v>487</v>
      </c>
      <c r="N58" s="35"/>
      <c r="O58" s="35"/>
      <c r="P58" s="35"/>
      <c r="Q58" s="36"/>
      <c r="R58" s="10">
        <f>LEN(M58)</f>
        <v>6</v>
      </c>
      <c r="S58" s="10">
        <f>MOD(R58,2)*4+FLOOR(R58/2,1)*6</f>
        <v>18</v>
      </c>
      <c r="T58" s="12">
        <f>S58+S59</f>
        <v>36</v>
      </c>
    </row>
    <row r="59" spans="1:20" ht="20" customHeight="1">
      <c r="A59" s="22"/>
      <c r="B59" s="6" t="str">
        <f>IF(H59&lt;=12,"有效","无效")</f>
        <v>有效</v>
      </c>
      <c r="C59" s="31" t="s">
        <v>2070</v>
      </c>
      <c r="D59" s="32"/>
      <c r="E59" s="32"/>
      <c r="F59" s="32"/>
      <c r="G59" s="33"/>
      <c r="H59" s="4">
        <f>LEN(C59)</f>
        <v>5</v>
      </c>
      <c r="I59" s="11">
        <f>MOD(H59,2)*4+FLOOR(H59/2,1)*6</f>
        <v>16</v>
      </c>
      <c r="J59" s="12" t="str">
        <f>IF(J58&lt;I57,"有效","无效")</f>
        <v>有效</v>
      </c>
      <c r="K59" s="20"/>
      <c r="L59" s="6" t="str">
        <f>IF(R59&lt;=12,"有效","无效")</f>
        <v>有效</v>
      </c>
      <c r="M59" s="34" t="s">
        <v>488</v>
      </c>
      <c r="N59" s="35"/>
      <c r="O59" s="35"/>
      <c r="P59" s="35"/>
      <c r="Q59" s="36"/>
      <c r="R59" s="10">
        <f>LEN(M59)</f>
        <v>6</v>
      </c>
      <c r="S59" s="10">
        <f>MOD(R59,2)*4+FLOOR(R59/2,1)*6</f>
        <v>18</v>
      </c>
      <c r="T59" s="12" t="str">
        <f>IF(T58&lt;I57,"有效","无效")</f>
        <v>有效</v>
      </c>
    </row>
    <row r="60" spans="1:20" ht="20" customHeight="1">
      <c r="A60" s="22"/>
      <c r="B60" s="6" t="str">
        <f>IF(H60&lt;=12,"有效","无效")</f>
        <v>有效</v>
      </c>
      <c r="C60" s="31" t="s">
        <v>2068</v>
      </c>
      <c r="D60" s="32"/>
      <c r="E60" s="32"/>
      <c r="F60" s="32"/>
      <c r="G60" s="33"/>
      <c r="H60" s="4">
        <f>LEN(C60)</f>
        <v>11</v>
      </c>
      <c r="I60" s="11">
        <f>MOD(H60,2)*4+FLOOR(H60/2,1)*6</f>
        <v>34</v>
      </c>
      <c r="J60" s="12">
        <f>I60+I61</f>
        <v>68</v>
      </c>
      <c r="K60" s="20"/>
      <c r="L60" s="6" t="str">
        <f>IF(R60&lt;=12,"有效","无效")</f>
        <v>有效</v>
      </c>
      <c r="M60" s="34" t="s">
        <v>489</v>
      </c>
      <c r="N60" s="35"/>
      <c r="O60" s="35"/>
      <c r="P60" s="35"/>
      <c r="Q60" s="36"/>
      <c r="R60" s="10">
        <f>LEN(M60)</f>
        <v>9</v>
      </c>
      <c r="S60" s="10">
        <f>MOD(R60,2)*4+FLOOR(R60/2,1)*6</f>
        <v>28</v>
      </c>
      <c r="T60" s="12">
        <f>S60+S61</f>
        <v>58</v>
      </c>
    </row>
    <row r="61" spans="1:20" ht="20" customHeight="1">
      <c r="A61" s="22"/>
      <c r="B61" s="6" t="str">
        <f>IF(H61&lt;=12,"有效","无效")</f>
        <v>有效</v>
      </c>
      <c r="C61" s="31" t="s">
        <v>2067</v>
      </c>
      <c r="D61" s="32"/>
      <c r="E61" s="32"/>
      <c r="F61" s="32"/>
      <c r="G61" s="33"/>
      <c r="H61" s="4">
        <f>LEN(C61)</f>
        <v>11</v>
      </c>
      <c r="I61" s="11">
        <f>MOD(H61,2)*4+FLOOR(H61/2,1)*6</f>
        <v>34</v>
      </c>
      <c r="J61" s="12" t="str">
        <f>IF(J60&lt;I57,"有效","无效")</f>
        <v>有效</v>
      </c>
      <c r="K61" s="20"/>
      <c r="L61" s="6" t="str">
        <f>IF(R61&lt;=12,"有效","无效")</f>
        <v>有效</v>
      </c>
      <c r="M61" s="34" t="s">
        <v>490</v>
      </c>
      <c r="N61" s="35"/>
      <c r="O61" s="35"/>
      <c r="P61" s="35"/>
      <c r="Q61" s="36"/>
      <c r="R61" s="10">
        <f>LEN(M61)</f>
        <v>10</v>
      </c>
      <c r="S61" s="10">
        <f>MOD(R61,2)*4+FLOOR(R61/2,1)*6</f>
        <v>30</v>
      </c>
      <c r="T61" s="12" t="str">
        <f>IF(T60&lt;I57,"有效","无效")</f>
        <v>有效</v>
      </c>
    </row>
    <row r="62" spans="1:20" ht="20" customHeight="1">
      <c r="A62" s="22">
        <v>13</v>
      </c>
      <c r="B62" s="23" t="s">
        <v>23</v>
      </c>
      <c r="C62" s="24" t="s">
        <v>24</v>
      </c>
      <c r="D62" s="14">
        <f>LEN($B62)</f>
        <v>3</v>
      </c>
      <c r="E62" s="14">
        <f>LEN(C62)+3</f>
        <v>6</v>
      </c>
      <c r="F62" s="14">
        <f>MOD(D62,2)*4+FLOOR(D62/2,1)*6</f>
        <v>10</v>
      </c>
      <c r="G62" s="14">
        <f>MOD(E62,2)*4+FLOOR(E62/2,1)*6</f>
        <v>18</v>
      </c>
      <c r="H62" s="14">
        <v>12</v>
      </c>
      <c r="I62" s="14">
        <f>108-H62-G62-F62</f>
        <v>68</v>
      </c>
    </row>
    <row r="63" spans="1:20" ht="20" customHeight="1">
      <c r="A63" s="22"/>
      <c r="B63" s="6" t="str">
        <f>IF(H63&lt;=12,"有效","无效")</f>
        <v>有效</v>
      </c>
      <c r="C63" s="31" t="s">
        <v>493</v>
      </c>
      <c r="D63" s="32"/>
      <c r="E63" s="32"/>
      <c r="F63" s="32"/>
      <c r="G63" s="33"/>
      <c r="H63" s="4">
        <f>LEN(C63)</f>
        <v>5</v>
      </c>
      <c r="I63" s="11">
        <f>MOD(H63,2)*4+FLOOR(H63/2,1)*6</f>
        <v>16</v>
      </c>
      <c r="J63" s="12">
        <f>I63+I64</f>
        <v>26</v>
      </c>
      <c r="K63" s="20"/>
      <c r="L63" s="13" t="str">
        <f>IF(R63&lt;=12,"有效","无效")</f>
        <v>有效</v>
      </c>
      <c r="M63" s="35" t="s">
        <v>495</v>
      </c>
      <c r="N63" s="35"/>
      <c r="O63" s="35"/>
      <c r="P63" s="35"/>
      <c r="Q63" s="36"/>
      <c r="R63" s="10">
        <f>LEN(M63)</f>
        <v>7</v>
      </c>
      <c r="S63" s="10">
        <f>MOD(R63,2)*4+FLOOR(R63/2,1)*6</f>
        <v>22</v>
      </c>
      <c r="T63" s="12">
        <f>S63+S64</f>
        <v>46</v>
      </c>
    </row>
    <row r="64" spans="1:20" ht="20" customHeight="1">
      <c r="A64" s="22"/>
      <c r="B64" s="6" t="str">
        <f>IF(H64&lt;=12,"有效","无效")</f>
        <v>有效</v>
      </c>
      <c r="C64" s="31" t="s">
        <v>494</v>
      </c>
      <c r="D64" s="32"/>
      <c r="E64" s="32"/>
      <c r="F64" s="32"/>
      <c r="G64" s="33"/>
      <c r="H64" s="4">
        <f>LEN(C64)</f>
        <v>3</v>
      </c>
      <c r="I64" s="11">
        <f>MOD(H64,2)*4+FLOOR(H64/2,1)*6</f>
        <v>10</v>
      </c>
      <c r="J64" s="12" t="str">
        <f>IF(J63&lt;I62,"有效","无效")</f>
        <v>有效</v>
      </c>
      <c r="K64" s="20"/>
      <c r="L64" s="6" t="str">
        <f>IF(R64&lt;=12,"有效","无效")</f>
        <v>有效</v>
      </c>
      <c r="M64" s="34" t="s">
        <v>496</v>
      </c>
      <c r="N64" s="35"/>
      <c r="O64" s="35"/>
      <c r="P64" s="35"/>
      <c r="Q64" s="36"/>
      <c r="R64" s="10">
        <f>LEN(M64)</f>
        <v>8</v>
      </c>
      <c r="S64" s="10">
        <f>MOD(R64,2)*4+FLOOR(R64/2,1)*6</f>
        <v>24</v>
      </c>
      <c r="T64" s="12" t="str">
        <f>IF(T63&lt;I62,"有效","无效")</f>
        <v>有效</v>
      </c>
    </row>
    <row r="65" spans="1:20" ht="20" customHeight="1">
      <c r="A65" s="22"/>
      <c r="B65" s="6" t="str">
        <f>IF(H65&lt;=12,"有效","无效")</f>
        <v>有效</v>
      </c>
      <c r="C65" s="31" t="s">
        <v>491</v>
      </c>
      <c r="D65" s="32"/>
      <c r="E65" s="32"/>
      <c r="F65" s="32"/>
      <c r="G65" s="33"/>
      <c r="H65" s="4">
        <f>LEN(C65)</f>
        <v>5</v>
      </c>
      <c r="I65" s="11">
        <f>MOD(H65,2)*4+FLOOR(H65/2,1)*6</f>
        <v>16</v>
      </c>
      <c r="J65" s="12">
        <f>I65+I66</f>
        <v>44</v>
      </c>
      <c r="K65" s="20"/>
      <c r="L65" s="6" t="str">
        <f>IF(R65&lt;=12,"有效","无效")</f>
        <v>有效</v>
      </c>
      <c r="M65" s="34" t="s">
        <v>497</v>
      </c>
      <c r="N65" s="35"/>
      <c r="O65" s="35"/>
      <c r="P65" s="35"/>
      <c r="Q65" s="36"/>
      <c r="R65" s="10">
        <f>LEN(M65)</f>
        <v>6</v>
      </c>
      <c r="S65" s="10">
        <f>MOD(R65,2)*4+FLOOR(R65/2,1)*6</f>
        <v>18</v>
      </c>
      <c r="T65" s="12">
        <f>S65+S66</f>
        <v>48</v>
      </c>
    </row>
    <row r="66" spans="1:20" ht="20" customHeight="1">
      <c r="A66" s="22"/>
      <c r="B66" s="6" t="str">
        <f>IF(H66&lt;=12,"有效","无效")</f>
        <v>有效</v>
      </c>
      <c r="C66" s="31" t="s">
        <v>492</v>
      </c>
      <c r="D66" s="32"/>
      <c r="E66" s="32"/>
      <c r="F66" s="32"/>
      <c r="G66" s="33"/>
      <c r="H66" s="4">
        <f>LEN(C66)</f>
        <v>9</v>
      </c>
      <c r="I66" s="11">
        <f>MOD(H66,2)*4+FLOOR(H66/2,1)*6</f>
        <v>28</v>
      </c>
      <c r="J66" s="12" t="str">
        <f>IF(J65&lt;I62,"有效","无效")</f>
        <v>有效</v>
      </c>
      <c r="K66" s="20"/>
      <c r="L66" s="6" t="str">
        <f>IF(R66&lt;=12,"有效","无效")</f>
        <v>有效</v>
      </c>
      <c r="M66" s="34" t="s">
        <v>498</v>
      </c>
      <c r="N66" s="35"/>
      <c r="O66" s="35"/>
      <c r="P66" s="35"/>
      <c r="Q66" s="36"/>
      <c r="R66" s="10">
        <f>LEN(M66)</f>
        <v>10</v>
      </c>
      <c r="S66" s="10">
        <f>MOD(R66,2)*4+FLOOR(R66/2,1)*6</f>
        <v>30</v>
      </c>
      <c r="T66" s="12" t="str">
        <f>IF(T65&lt;I62,"有效","无效")</f>
        <v>有效</v>
      </c>
    </row>
    <row r="67" spans="1:20" ht="20" customHeight="1">
      <c r="A67" s="22">
        <v>14</v>
      </c>
      <c r="B67" s="23" t="s">
        <v>25</v>
      </c>
      <c r="C67" s="24" t="s">
        <v>20</v>
      </c>
      <c r="D67" s="14">
        <f>LEN($B67)</f>
        <v>3</v>
      </c>
      <c r="E67" s="14">
        <f>LEN(C67)+3</f>
        <v>4</v>
      </c>
      <c r="F67" s="14">
        <f>MOD(D67,2)*4+FLOOR(D67/2,1)*6</f>
        <v>10</v>
      </c>
      <c r="G67" s="14">
        <f>MOD(E67,2)*4+FLOOR(E67/2,1)*6</f>
        <v>12</v>
      </c>
      <c r="H67" s="14">
        <v>12</v>
      </c>
      <c r="I67" s="14">
        <f>108-H67-G67-F67</f>
        <v>74</v>
      </c>
    </row>
    <row r="68" spans="1:20" ht="20" customHeight="1">
      <c r="A68" s="22"/>
      <c r="B68" s="6" t="str">
        <f>IF(H68&lt;=12,"有效","无效")</f>
        <v>有效</v>
      </c>
      <c r="C68" s="39" t="s">
        <v>499</v>
      </c>
      <c r="D68" s="40"/>
      <c r="E68" s="40"/>
      <c r="F68" s="40"/>
      <c r="G68" s="41"/>
      <c r="H68" s="4">
        <f>LEN(C68)</f>
        <v>6</v>
      </c>
      <c r="I68" s="11">
        <f>MOD(H68,2)*4+FLOOR(H68/2,1)*6</f>
        <v>18</v>
      </c>
      <c r="J68" s="12">
        <f>I68+I69</f>
        <v>46</v>
      </c>
      <c r="K68" s="20"/>
      <c r="L68" s="13" t="str">
        <f>IF(R68&lt;=12,"有效","无效")</f>
        <v>有效</v>
      </c>
      <c r="M68" s="35" t="s">
        <v>505</v>
      </c>
      <c r="N68" s="35"/>
      <c r="O68" s="35"/>
      <c r="P68" s="35"/>
      <c r="Q68" s="36"/>
      <c r="R68" s="10">
        <f>LEN(M68)</f>
        <v>4</v>
      </c>
      <c r="S68" s="10">
        <f>MOD(R68,2)*4+FLOOR(R68/2,1)*6</f>
        <v>12</v>
      </c>
      <c r="T68" s="12">
        <f>S68+S69</f>
        <v>30</v>
      </c>
    </row>
    <row r="69" spans="1:20" ht="20" customHeight="1">
      <c r="A69" s="22"/>
      <c r="B69" s="6" t="str">
        <f>IF(H69&lt;=12,"有效","无效")</f>
        <v>有效</v>
      </c>
      <c r="C69" s="39" t="s">
        <v>500</v>
      </c>
      <c r="D69" s="40"/>
      <c r="E69" s="40"/>
      <c r="F69" s="40"/>
      <c r="G69" s="41"/>
      <c r="H69" s="4">
        <f>LEN(C69)</f>
        <v>9</v>
      </c>
      <c r="I69" s="11">
        <f>MOD(H69,2)*4+FLOOR(H69/2,1)*6</f>
        <v>28</v>
      </c>
      <c r="J69" s="12" t="str">
        <f>IF(J68&lt;I67,"有效","无效")</f>
        <v>有效</v>
      </c>
      <c r="K69" s="20"/>
      <c r="L69" s="6" t="str">
        <f>IF(R69&lt;=12,"有效","无效")</f>
        <v>有效</v>
      </c>
      <c r="M69" s="34" t="s">
        <v>506</v>
      </c>
      <c r="N69" s="35"/>
      <c r="O69" s="35"/>
      <c r="P69" s="35"/>
      <c r="Q69" s="36"/>
      <c r="R69" s="10">
        <f>LEN(M69)</f>
        <v>6</v>
      </c>
      <c r="S69" s="10">
        <f>MOD(R69,2)*4+FLOOR(R69/2,1)*6</f>
        <v>18</v>
      </c>
      <c r="T69" s="12" t="str">
        <f>IF(T68&lt;I67,"有效","无效")</f>
        <v>有效</v>
      </c>
    </row>
    <row r="70" spans="1:20" ht="20" customHeight="1">
      <c r="A70" s="22"/>
      <c r="B70" s="6" t="str">
        <f>IF(H70&lt;=12,"有效","无效")</f>
        <v>有效</v>
      </c>
      <c r="C70" s="39" t="s">
        <v>501</v>
      </c>
      <c r="D70" s="40"/>
      <c r="E70" s="40"/>
      <c r="F70" s="40"/>
      <c r="G70" s="41"/>
      <c r="H70" s="4">
        <f>LEN(C70)</f>
        <v>10</v>
      </c>
      <c r="I70" s="11">
        <f>MOD(H70,2)*4+FLOOR(H70/2,1)*6</f>
        <v>30</v>
      </c>
      <c r="J70" s="12">
        <f>I70+I71</f>
        <v>58</v>
      </c>
      <c r="K70" s="20"/>
      <c r="L70" s="6" t="str">
        <f>IF(R70&lt;=12,"有效","无效")</f>
        <v>有效</v>
      </c>
      <c r="M70" s="34" t="s">
        <v>504</v>
      </c>
      <c r="N70" s="35"/>
      <c r="O70" s="35"/>
      <c r="P70" s="35"/>
      <c r="Q70" s="36"/>
      <c r="R70" s="10">
        <f>LEN(M70)</f>
        <v>7</v>
      </c>
      <c r="S70" s="10">
        <f>MOD(R70,2)*4+FLOOR(R70/2,1)*6</f>
        <v>22</v>
      </c>
      <c r="T70" s="12">
        <f>S70+S71</f>
        <v>50</v>
      </c>
    </row>
    <row r="71" spans="1:20" ht="20" customHeight="1">
      <c r="A71" s="22"/>
      <c r="B71" s="6" t="str">
        <f>IF(H71&lt;=12,"有效","无效")</f>
        <v>有效</v>
      </c>
      <c r="C71" s="39" t="s">
        <v>502</v>
      </c>
      <c r="D71" s="40"/>
      <c r="E71" s="40"/>
      <c r="F71" s="40"/>
      <c r="G71" s="41"/>
      <c r="H71" s="4">
        <f>LEN(C71)</f>
        <v>9</v>
      </c>
      <c r="I71" s="11">
        <f>MOD(H71,2)*4+FLOOR(H71/2,1)*6</f>
        <v>28</v>
      </c>
      <c r="J71" s="12" t="str">
        <f>IF(J70&lt;I67,"有效","无效")</f>
        <v>有效</v>
      </c>
      <c r="K71" s="20"/>
      <c r="L71" s="6" t="str">
        <f>IF(R71&lt;=12,"有效","无效")</f>
        <v>有效</v>
      </c>
      <c r="M71" s="34" t="s">
        <v>503</v>
      </c>
      <c r="N71" s="35"/>
      <c r="O71" s="35"/>
      <c r="P71" s="35"/>
      <c r="Q71" s="36"/>
      <c r="R71" s="10">
        <f>LEN(M71)</f>
        <v>9</v>
      </c>
      <c r="S71" s="10">
        <f>MOD(R71,2)*4+FLOOR(R71/2,1)*6</f>
        <v>28</v>
      </c>
      <c r="T71" s="12" t="str">
        <f>IF(T70&lt;I67,"有效","无效")</f>
        <v>有效</v>
      </c>
    </row>
    <row r="72" spans="1:20" ht="20" customHeight="1">
      <c r="A72" s="22">
        <v>15</v>
      </c>
      <c r="B72" s="23" t="s">
        <v>26</v>
      </c>
      <c r="C72" s="24" t="s">
        <v>27</v>
      </c>
      <c r="D72" s="14">
        <f>LEN($B72)</f>
        <v>3</v>
      </c>
      <c r="E72" s="14">
        <f>LEN(C72)+3</f>
        <v>5</v>
      </c>
      <c r="F72" s="14">
        <f>MOD(D72,2)*4+FLOOR(D72/2,1)*6</f>
        <v>10</v>
      </c>
      <c r="G72" s="14">
        <f>MOD(E72,2)*4+FLOOR(E72/2,1)*6</f>
        <v>16</v>
      </c>
      <c r="H72" s="14">
        <v>12</v>
      </c>
      <c r="I72" s="14">
        <f>108-H72-G72-F72</f>
        <v>70</v>
      </c>
    </row>
    <row r="73" spans="1:20" ht="20" customHeight="1">
      <c r="A73" s="22"/>
      <c r="B73" s="6" t="str">
        <f>IF(H73&lt;=12,"有效","无效")</f>
        <v>有效</v>
      </c>
      <c r="C73" s="34" t="s">
        <v>509</v>
      </c>
      <c r="D73" s="35"/>
      <c r="E73" s="35"/>
      <c r="F73" s="35"/>
      <c r="G73" s="36"/>
      <c r="H73" s="4">
        <f>LEN(C73)</f>
        <v>10</v>
      </c>
      <c r="I73" s="11">
        <f>MOD(H73,2)*4+FLOOR(H73/2,1)*6</f>
        <v>30</v>
      </c>
      <c r="J73" s="12">
        <f>I73+I74</f>
        <v>64</v>
      </c>
      <c r="K73" s="20"/>
      <c r="L73" s="13" t="str">
        <f>IF(R73&lt;=12,"有效","无效")</f>
        <v>有效</v>
      </c>
      <c r="M73" s="35" t="s">
        <v>2260</v>
      </c>
      <c r="N73" s="35"/>
      <c r="O73" s="35"/>
      <c r="P73" s="35"/>
      <c r="Q73" s="36"/>
      <c r="R73" s="10">
        <f>LEN(M73)</f>
        <v>3</v>
      </c>
      <c r="S73" s="10">
        <f>MOD(R73,2)*4+FLOOR(R73/2,1)*6</f>
        <v>10</v>
      </c>
      <c r="T73" s="12">
        <f>S73+S74</f>
        <v>26</v>
      </c>
    </row>
    <row r="74" spans="1:20" ht="20" customHeight="1">
      <c r="A74" s="22"/>
      <c r="B74" s="6" t="str">
        <f>IF(H74&lt;=12,"有效","无效")</f>
        <v>有效</v>
      </c>
      <c r="C74" s="34" t="s">
        <v>507</v>
      </c>
      <c r="D74" s="35"/>
      <c r="E74" s="35"/>
      <c r="F74" s="35"/>
      <c r="G74" s="36"/>
      <c r="H74" s="4">
        <f>LEN(C74)</f>
        <v>11</v>
      </c>
      <c r="I74" s="11">
        <f>MOD(H74,2)*4+FLOOR(H74/2,1)*6</f>
        <v>34</v>
      </c>
      <c r="J74" s="12" t="str">
        <f>IF(J73&lt;I72,"有效","无效")</f>
        <v>有效</v>
      </c>
      <c r="K74" s="20"/>
      <c r="L74" s="6" t="str">
        <f>IF(R74&lt;=12,"有效","无效")</f>
        <v>有效</v>
      </c>
      <c r="M74" s="34" t="s">
        <v>2261</v>
      </c>
      <c r="N74" s="35"/>
      <c r="O74" s="35"/>
      <c r="P74" s="35"/>
      <c r="Q74" s="36"/>
      <c r="R74" s="10">
        <f>LEN(M74)</f>
        <v>5</v>
      </c>
      <c r="S74" s="10">
        <f>MOD(R74,2)*4+FLOOR(R74/2,1)*6</f>
        <v>16</v>
      </c>
      <c r="T74" s="12" t="str">
        <f>IF(T73&lt;I72,"有效","无效")</f>
        <v>有效</v>
      </c>
    </row>
    <row r="75" spans="1:20" ht="20" customHeight="1">
      <c r="A75" s="22"/>
      <c r="B75" s="6" t="str">
        <f>IF(H75&lt;=12,"有效","无效")</f>
        <v>有效</v>
      </c>
      <c r="C75" s="34" t="s">
        <v>508</v>
      </c>
      <c r="D75" s="35"/>
      <c r="E75" s="35"/>
      <c r="F75" s="35"/>
      <c r="G75" s="36"/>
      <c r="H75" s="4">
        <f>LEN(C75)</f>
        <v>4</v>
      </c>
      <c r="I75" s="11">
        <f>MOD(H75,2)*4+FLOOR(H75/2,1)*6</f>
        <v>12</v>
      </c>
      <c r="J75" s="12">
        <f>I75+I76</f>
        <v>34</v>
      </c>
      <c r="K75" s="20"/>
      <c r="L75" s="6" t="str">
        <f>IF(R75&lt;=12,"有效","无效")</f>
        <v>有效</v>
      </c>
      <c r="M75" s="34" t="s">
        <v>2259</v>
      </c>
      <c r="N75" s="35"/>
      <c r="O75" s="35"/>
      <c r="P75" s="35"/>
      <c r="Q75" s="36"/>
      <c r="R75" s="10">
        <f>LEN(M75)</f>
        <v>9</v>
      </c>
      <c r="S75" s="10">
        <f>MOD(R75,2)*4+FLOOR(R75/2,1)*6</f>
        <v>28</v>
      </c>
      <c r="T75" s="12">
        <f>S75+S76</f>
        <v>44</v>
      </c>
    </row>
    <row r="76" spans="1:20" ht="20" customHeight="1">
      <c r="A76" s="22"/>
      <c r="B76" s="6" t="str">
        <f>IF(H76&lt;=12,"有效","无效")</f>
        <v>有效</v>
      </c>
      <c r="C76" s="34" t="s">
        <v>511</v>
      </c>
      <c r="D76" s="35"/>
      <c r="E76" s="35"/>
      <c r="F76" s="35"/>
      <c r="G76" s="36"/>
      <c r="H76" s="4">
        <f>LEN(C76)</f>
        <v>7</v>
      </c>
      <c r="I76" s="11">
        <f>MOD(H76,2)*4+FLOOR(H76/2,1)*6</f>
        <v>22</v>
      </c>
      <c r="J76" s="12" t="str">
        <f>IF(J75&lt;I72,"有效","无效")</f>
        <v>有效</v>
      </c>
      <c r="K76" s="20"/>
      <c r="L76" s="6" t="str">
        <f>IF(R76&lt;=12,"有效","无效")</f>
        <v>有效</v>
      </c>
      <c r="M76" s="34" t="s">
        <v>510</v>
      </c>
      <c r="N76" s="35"/>
      <c r="O76" s="35"/>
      <c r="P76" s="35"/>
      <c r="Q76" s="36"/>
      <c r="R76" s="10">
        <f>LEN(M76)</f>
        <v>5</v>
      </c>
      <c r="S76" s="10">
        <f>MOD(R76,2)*4+FLOOR(R76/2,1)*6</f>
        <v>16</v>
      </c>
      <c r="T76" s="12" t="str">
        <f>IF(T75&lt;I72,"有效","无效")</f>
        <v>有效</v>
      </c>
    </row>
    <row r="77" spans="1:20" ht="20" customHeight="1">
      <c r="A77" s="22">
        <v>16</v>
      </c>
      <c r="B77" s="23" t="s">
        <v>28</v>
      </c>
      <c r="C77" s="24" t="s">
        <v>29</v>
      </c>
      <c r="D77" s="14">
        <f>LEN($B77)</f>
        <v>2</v>
      </c>
      <c r="E77" s="14">
        <f>LEN(C77)+3</f>
        <v>5</v>
      </c>
      <c r="F77" s="14">
        <f>MOD(D77,2)*4+FLOOR(D77/2,1)*6</f>
        <v>6</v>
      </c>
      <c r="G77" s="14">
        <f>MOD(E77,2)*4+FLOOR(E77/2,1)*6</f>
        <v>16</v>
      </c>
      <c r="H77" s="14">
        <v>12</v>
      </c>
      <c r="I77" s="14">
        <f>108-H77-G77-F77</f>
        <v>74</v>
      </c>
    </row>
    <row r="78" spans="1:20" ht="20" customHeight="1">
      <c r="A78" s="22"/>
      <c r="B78" s="6" t="str">
        <f>IF(H78&lt;=12,"有效","无效")</f>
        <v>有效</v>
      </c>
      <c r="C78" s="34" t="s">
        <v>515</v>
      </c>
      <c r="D78" s="35"/>
      <c r="E78" s="35"/>
      <c r="F78" s="35"/>
      <c r="G78" s="36"/>
      <c r="H78" s="4">
        <f>LEN(C78)</f>
        <v>8</v>
      </c>
      <c r="I78" s="11">
        <f>MOD(H78,2)*4+FLOOR(H78/2,1)*6</f>
        <v>24</v>
      </c>
      <c r="J78" s="12">
        <f>I78+I79</f>
        <v>42</v>
      </c>
      <c r="K78" s="20"/>
      <c r="L78" s="13" t="str">
        <f>IF(R78&lt;=12,"有效","无效")</f>
        <v>有效</v>
      </c>
      <c r="M78" s="35" t="s">
        <v>516</v>
      </c>
      <c r="N78" s="35"/>
      <c r="O78" s="35"/>
      <c r="P78" s="35"/>
      <c r="Q78" s="36"/>
      <c r="R78" s="10">
        <f>LEN(M78)</f>
        <v>6</v>
      </c>
      <c r="S78" s="10">
        <f>MOD(R78,2)*4+FLOOR(R78/2,1)*6</f>
        <v>18</v>
      </c>
      <c r="T78" s="12">
        <f>S78+S79</f>
        <v>40</v>
      </c>
    </row>
    <row r="79" spans="1:20" ht="20" customHeight="1">
      <c r="A79" s="22"/>
      <c r="B79" s="6" t="str">
        <f>IF(H79&lt;=12,"有效","无效")</f>
        <v>有效</v>
      </c>
      <c r="C79" s="34" t="s">
        <v>512</v>
      </c>
      <c r="D79" s="35"/>
      <c r="E79" s="35"/>
      <c r="F79" s="35"/>
      <c r="G79" s="36"/>
      <c r="H79" s="4">
        <f>LEN(C79)</f>
        <v>6</v>
      </c>
      <c r="I79" s="11">
        <f>MOD(H79,2)*4+FLOOR(H79/2,1)*6</f>
        <v>18</v>
      </c>
      <c r="J79" s="12" t="str">
        <f>IF(J78&lt;I77,"有效","无效")</f>
        <v>有效</v>
      </c>
      <c r="K79" s="20"/>
      <c r="L79" s="6" t="str">
        <f>IF(R79&lt;=12,"有效","无效")</f>
        <v>有效</v>
      </c>
      <c r="M79" s="34" t="s">
        <v>517</v>
      </c>
      <c r="N79" s="35"/>
      <c r="O79" s="35"/>
      <c r="P79" s="35"/>
      <c r="Q79" s="36"/>
      <c r="R79" s="10">
        <f>LEN(M79)</f>
        <v>7</v>
      </c>
      <c r="S79" s="10">
        <f>MOD(R79,2)*4+FLOOR(R79/2,1)*6</f>
        <v>22</v>
      </c>
      <c r="T79" s="12" t="str">
        <f>IF(T78&lt;I77,"有效","无效")</f>
        <v>有效</v>
      </c>
    </row>
    <row r="80" spans="1:20" ht="20" customHeight="1">
      <c r="A80" s="22"/>
      <c r="B80" s="6" t="str">
        <f>IF(H80&lt;=12,"有效","无效")</f>
        <v>有效</v>
      </c>
      <c r="C80" s="34" t="s">
        <v>513</v>
      </c>
      <c r="D80" s="35"/>
      <c r="E80" s="35"/>
      <c r="F80" s="35"/>
      <c r="G80" s="36"/>
      <c r="H80" s="4">
        <f>LEN(C80)</f>
        <v>8</v>
      </c>
      <c r="I80" s="11">
        <f>MOD(H80,2)*4+FLOOR(H80/2,1)*6</f>
        <v>24</v>
      </c>
      <c r="J80" s="12">
        <f>I80+I81</f>
        <v>54</v>
      </c>
      <c r="K80" s="20"/>
      <c r="L80" s="6" t="str">
        <f>IF(R80&lt;=12,"有效","无效")</f>
        <v>有效</v>
      </c>
      <c r="M80" s="34" t="s">
        <v>519</v>
      </c>
      <c r="N80" s="35"/>
      <c r="O80" s="35"/>
      <c r="P80" s="35"/>
      <c r="Q80" s="36"/>
      <c r="R80" s="10">
        <f>LEN(M80)</f>
        <v>10</v>
      </c>
      <c r="S80" s="10">
        <f>MOD(R80,2)*4+FLOOR(R80/2,1)*6</f>
        <v>30</v>
      </c>
      <c r="T80" s="12">
        <f>S80+S81</f>
        <v>60</v>
      </c>
    </row>
    <row r="81" spans="1:20" ht="20" customHeight="1">
      <c r="A81" s="22"/>
      <c r="B81" s="6" t="str">
        <f>IF(H81&lt;=12,"有效","无效")</f>
        <v>有效</v>
      </c>
      <c r="C81" s="34" t="s">
        <v>514</v>
      </c>
      <c r="D81" s="35"/>
      <c r="E81" s="35"/>
      <c r="F81" s="35"/>
      <c r="G81" s="36"/>
      <c r="H81" s="4">
        <f>LEN(C81)</f>
        <v>10</v>
      </c>
      <c r="I81" s="11">
        <f>MOD(H81,2)*4+FLOOR(H81/2,1)*6</f>
        <v>30</v>
      </c>
      <c r="J81" s="12" t="str">
        <f>IF(J80&lt;I77,"有效","无效")</f>
        <v>有效</v>
      </c>
      <c r="K81" s="20"/>
      <c r="L81" s="6" t="str">
        <f>IF(R81&lt;=12,"有效","无效")</f>
        <v>有效</v>
      </c>
      <c r="M81" s="34" t="s">
        <v>518</v>
      </c>
      <c r="N81" s="35"/>
      <c r="O81" s="35"/>
      <c r="P81" s="35"/>
      <c r="Q81" s="36"/>
      <c r="R81" s="10">
        <f>LEN(M81)</f>
        <v>10</v>
      </c>
      <c r="S81" s="10">
        <f>MOD(R81,2)*4+FLOOR(R81/2,1)*6</f>
        <v>30</v>
      </c>
      <c r="T81" s="12" t="str">
        <f>IF(T80&lt;I77,"有效","无效")</f>
        <v>有效</v>
      </c>
    </row>
    <row r="82" spans="1:20" ht="20" customHeight="1">
      <c r="A82" s="22">
        <v>17</v>
      </c>
      <c r="B82" s="23" t="s">
        <v>30</v>
      </c>
      <c r="C82" s="24" t="s">
        <v>31</v>
      </c>
      <c r="D82" s="14">
        <f>LEN($B82)</f>
        <v>3</v>
      </c>
      <c r="E82" s="14">
        <f>LEN(C82)+3</f>
        <v>4</v>
      </c>
      <c r="F82" s="14">
        <f>MOD(D82,2)*4+FLOOR(D82/2,1)*6</f>
        <v>10</v>
      </c>
      <c r="G82" s="14">
        <f>MOD(E82,2)*4+FLOOR(E82/2,1)*6</f>
        <v>12</v>
      </c>
      <c r="H82" s="14">
        <v>12</v>
      </c>
      <c r="I82" s="14">
        <f>108-H82-G82-F82</f>
        <v>74</v>
      </c>
    </row>
    <row r="83" spans="1:20" ht="20" customHeight="1">
      <c r="A83" s="22"/>
      <c r="B83" s="6" t="str">
        <f>IF(H83&lt;=12,"有效","无效")</f>
        <v>有效</v>
      </c>
      <c r="C83" s="34" t="s">
        <v>520</v>
      </c>
      <c r="D83" s="35"/>
      <c r="E83" s="35"/>
      <c r="F83" s="35"/>
      <c r="G83" s="36"/>
      <c r="H83" s="4">
        <f>LEN(C83)</f>
        <v>6</v>
      </c>
      <c r="I83" s="11">
        <f>MOD(H83,2)*4+FLOOR(H83/2,1)*6</f>
        <v>18</v>
      </c>
      <c r="J83" s="12">
        <f>I83+I84</f>
        <v>42</v>
      </c>
      <c r="K83" s="20"/>
      <c r="L83" s="13" t="str">
        <f>IF(R83&lt;=12,"有效","无效")</f>
        <v>有效</v>
      </c>
      <c r="M83" s="35" t="s">
        <v>527</v>
      </c>
      <c r="N83" s="35"/>
      <c r="O83" s="35"/>
      <c r="P83" s="35"/>
      <c r="Q83" s="36"/>
      <c r="R83" s="10">
        <f>LEN(M83)</f>
        <v>10</v>
      </c>
      <c r="S83" s="10">
        <f>MOD(R83,2)*4+FLOOR(R83/2,1)*6</f>
        <v>30</v>
      </c>
      <c r="T83" s="12">
        <f>S83+S84</f>
        <v>52</v>
      </c>
    </row>
    <row r="84" spans="1:20" ht="20" customHeight="1">
      <c r="A84" s="22"/>
      <c r="B84" s="6" t="str">
        <f>IF(H84&lt;=12,"有效","无效")</f>
        <v>有效</v>
      </c>
      <c r="C84" s="34" t="s">
        <v>521</v>
      </c>
      <c r="D84" s="35"/>
      <c r="E84" s="35"/>
      <c r="F84" s="35"/>
      <c r="G84" s="36"/>
      <c r="H84" s="4">
        <f>LEN(C84)</f>
        <v>8</v>
      </c>
      <c r="I84" s="11">
        <f>MOD(H84,2)*4+FLOOR(H84/2,1)*6</f>
        <v>24</v>
      </c>
      <c r="J84" s="12" t="str">
        <f>IF(J83&lt;I82,"有效","无效")</f>
        <v>有效</v>
      </c>
      <c r="K84" s="20"/>
      <c r="L84" s="6" t="str">
        <f>IF(R84&lt;=12,"有效","无效")</f>
        <v>有效</v>
      </c>
      <c r="M84" s="34" t="s">
        <v>526</v>
      </c>
      <c r="N84" s="35"/>
      <c r="O84" s="35"/>
      <c r="P84" s="35"/>
      <c r="Q84" s="36"/>
      <c r="R84" s="10">
        <f>LEN(M84)</f>
        <v>7</v>
      </c>
      <c r="S84" s="10">
        <f>MOD(R84,2)*4+FLOOR(R84/2,1)*6</f>
        <v>22</v>
      </c>
      <c r="T84" s="12" t="str">
        <f>IF(T83&lt;I82,"有效","无效")</f>
        <v>有效</v>
      </c>
    </row>
    <row r="85" spans="1:20" ht="20" customHeight="1">
      <c r="A85" s="22"/>
      <c r="B85" s="6" t="str">
        <f>IF(H85&lt;=12,"有效","无效")</f>
        <v>有效</v>
      </c>
      <c r="C85" s="34" t="s">
        <v>523</v>
      </c>
      <c r="D85" s="35"/>
      <c r="E85" s="35"/>
      <c r="F85" s="35"/>
      <c r="G85" s="36"/>
      <c r="H85" s="4">
        <f>LEN(C85)</f>
        <v>4</v>
      </c>
      <c r="I85" s="11">
        <f>MOD(H85,2)*4+FLOOR(H85/2,1)*6</f>
        <v>12</v>
      </c>
      <c r="J85" s="12">
        <f>I85+I86</f>
        <v>36</v>
      </c>
      <c r="K85" s="20"/>
      <c r="L85" s="6" t="str">
        <f>IF(R85&lt;=12,"有效","无效")</f>
        <v>有效</v>
      </c>
      <c r="M85" s="34" t="s">
        <v>524</v>
      </c>
      <c r="N85" s="35"/>
      <c r="O85" s="35"/>
      <c r="P85" s="35"/>
      <c r="Q85" s="36"/>
      <c r="R85" s="10">
        <f>LEN(M85)</f>
        <v>4</v>
      </c>
      <c r="S85" s="10">
        <f>MOD(R85,2)*4+FLOOR(R85/2,1)*6</f>
        <v>12</v>
      </c>
      <c r="T85" s="12">
        <f>S85+S86</f>
        <v>46</v>
      </c>
    </row>
    <row r="86" spans="1:20" ht="20" customHeight="1">
      <c r="A86" s="22"/>
      <c r="B86" s="6" t="str">
        <f>IF(H86&lt;=12,"有效","无效")</f>
        <v>有效</v>
      </c>
      <c r="C86" s="34" t="s">
        <v>522</v>
      </c>
      <c r="D86" s="35"/>
      <c r="E86" s="35"/>
      <c r="F86" s="35"/>
      <c r="G86" s="36"/>
      <c r="H86" s="4">
        <f>LEN(C86)</f>
        <v>8</v>
      </c>
      <c r="I86" s="11">
        <f>MOD(H86,2)*4+FLOOR(H86/2,1)*6</f>
        <v>24</v>
      </c>
      <c r="J86" s="12" t="str">
        <f>IF(J85&lt;I82,"有效","无效")</f>
        <v>有效</v>
      </c>
      <c r="K86" s="20"/>
      <c r="L86" s="6" t="str">
        <f>IF(R86&lt;=12,"有效","无效")</f>
        <v>有效</v>
      </c>
      <c r="M86" s="34" t="s">
        <v>525</v>
      </c>
      <c r="N86" s="35"/>
      <c r="O86" s="35"/>
      <c r="P86" s="35"/>
      <c r="Q86" s="36"/>
      <c r="R86" s="10">
        <f>LEN(M86)</f>
        <v>11</v>
      </c>
      <c r="S86" s="10">
        <f>MOD(R86,2)*4+FLOOR(R86/2,1)*6</f>
        <v>34</v>
      </c>
      <c r="T86" s="12" t="str">
        <f>IF(T85&lt;I82,"有效","无效")</f>
        <v>有效</v>
      </c>
    </row>
    <row r="87" spans="1:20" ht="20" customHeight="1">
      <c r="A87" s="22">
        <v>18</v>
      </c>
      <c r="B87" s="23" t="s">
        <v>32</v>
      </c>
      <c r="C87" s="24" t="s">
        <v>31</v>
      </c>
      <c r="D87" s="14">
        <f>LEN($B87)</f>
        <v>3</v>
      </c>
      <c r="E87" s="14">
        <f>LEN(C87)+3</f>
        <v>4</v>
      </c>
      <c r="F87" s="14">
        <f>MOD(D87,2)*4+FLOOR(D87/2,1)*6</f>
        <v>10</v>
      </c>
      <c r="G87" s="14">
        <f>MOD(E87,2)*4+FLOOR(E87/2,1)*6</f>
        <v>12</v>
      </c>
      <c r="H87" s="14">
        <v>12</v>
      </c>
      <c r="I87" s="14">
        <f>108-H87-G87-F87</f>
        <v>74</v>
      </c>
      <c r="J87" s="30"/>
    </row>
    <row r="88" spans="1:20" ht="20" customHeight="1">
      <c r="A88" s="22"/>
      <c r="B88" s="6" t="str">
        <f>IF(H88&lt;=12,"有效","无效")</f>
        <v>有效</v>
      </c>
      <c r="C88" s="34" t="s">
        <v>2071</v>
      </c>
      <c r="D88" s="35"/>
      <c r="E88" s="35"/>
      <c r="F88" s="35"/>
      <c r="G88" s="36"/>
      <c r="H88" s="4">
        <f>LEN(C88)</f>
        <v>2</v>
      </c>
      <c r="I88" s="11">
        <f>MOD(H88,2)*4+FLOOR(H88/2,1)*6</f>
        <v>6</v>
      </c>
      <c r="J88" s="12">
        <f>I88+I89</f>
        <v>22</v>
      </c>
      <c r="K88" s="20"/>
      <c r="L88" s="13" t="str">
        <f>IF(R88&lt;=12,"有效","无效")</f>
        <v>有效</v>
      </c>
      <c r="M88" s="35" t="s">
        <v>528</v>
      </c>
      <c r="N88" s="35"/>
      <c r="O88" s="35"/>
      <c r="P88" s="35"/>
      <c r="Q88" s="36"/>
      <c r="R88" s="10">
        <f>LEN(M88)</f>
        <v>9</v>
      </c>
      <c r="S88" s="10">
        <f>MOD(R88,2)*4+FLOOR(R88/2,1)*6</f>
        <v>28</v>
      </c>
      <c r="T88" s="12">
        <f>S88+S89</f>
        <v>46</v>
      </c>
    </row>
    <row r="89" spans="1:20" ht="20" customHeight="1">
      <c r="A89" s="22"/>
      <c r="B89" s="6" t="str">
        <f>IF(H89&lt;=12,"有效","无效")</f>
        <v>有效</v>
      </c>
      <c r="C89" s="34" t="s">
        <v>2072</v>
      </c>
      <c r="D89" s="35"/>
      <c r="E89" s="35"/>
      <c r="F89" s="35"/>
      <c r="G89" s="36"/>
      <c r="H89" s="4">
        <f>LEN(C89)</f>
        <v>5</v>
      </c>
      <c r="I89" s="11">
        <f>MOD(H89,2)*4+FLOOR(H89/2,1)*6</f>
        <v>16</v>
      </c>
      <c r="J89" s="12" t="str">
        <f>IF(J88&lt;I87,"有效","无效")</f>
        <v>有效</v>
      </c>
      <c r="K89" s="20"/>
      <c r="L89" s="6" t="str">
        <f>IF(R89&lt;=12,"有效","无效")</f>
        <v>有效</v>
      </c>
      <c r="M89" s="34" t="s">
        <v>529</v>
      </c>
      <c r="N89" s="35"/>
      <c r="O89" s="35"/>
      <c r="P89" s="35"/>
      <c r="Q89" s="36"/>
      <c r="R89" s="10">
        <f>LEN(M89)</f>
        <v>6</v>
      </c>
      <c r="S89" s="10">
        <f>MOD(R89,2)*4+FLOOR(R89/2,1)*6</f>
        <v>18</v>
      </c>
      <c r="T89" s="12" t="str">
        <f>IF(T88&lt;I87,"有效","无效")</f>
        <v>有效</v>
      </c>
    </row>
    <row r="90" spans="1:20" ht="20" customHeight="1">
      <c r="A90" s="22"/>
      <c r="B90" s="6" t="str">
        <f>IF(H90&lt;=12,"有效","无效")</f>
        <v>有效</v>
      </c>
      <c r="C90" s="34" t="s">
        <v>2073</v>
      </c>
      <c r="D90" s="35"/>
      <c r="E90" s="35"/>
      <c r="F90" s="35"/>
      <c r="G90" s="36"/>
      <c r="H90" s="4">
        <f>LEN(C90)</f>
        <v>10</v>
      </c>
      <c r="I90" s="11">
        <f>MOD(H90,2)*4+FLOOR(H90/2,1)*6</f>
        <v>30</v>
      </c>
      <c r="J90" s="12">
        <f>I90+I91</f>
        <v>52</v>
      </c>
      <c r="K90" s="20"/>
      <c r="L90" s="6" t="str">
        <f>IF(R90&lt;=12,"有效","无效")</f>
        <v>有效</v>
      </c>
      <c r="M90" s="34" t="s">
        <v>531</v>
      </c>
      <c r="N90" s="35"/>
      <c r="O90" s="35"/>
      <c r="P90" s="35"/>
      <c r="Q90" s="36"/>
      <c r="R90" s="10">
        <f>LEN(M90)</f>
        <v>3</v>
      </c>
      <c r="S90" s="10">
        <f>MOD(R90,2)*4+FLOOR(R90/2,1)*6</f>
        <v>10</v>
      </c>
      <c r="T90" s="12">
        <f>S90+S91</f>
        <v>38</v>
      </c>
    </row>
    <row r="91" spans="1:20" ht="20" customHeight="1">
      <c r="A91" s="22"/>
      <c r="B91" s="6" t="str">
        <f>IF(H91&lt;=12,"有效","无效")</f>
        <v>有效</v>
      </c>
      <c r="C91" s="34" t="s">
        <v>2074</v>
      </c>
      <c r="D91" s="35"/>
      <c r="E91" s="35"/>
      <c r="F91" s="35"/>
      <c r="G91" s="36"/>
      <c r="H91" s="4">
        <f>LEN(C91)</f>
        <v>7</v>
      </c>
      <c r="I91" s="11">
        <f>MOD(H91,2)*4+FLOOR(H91/2,1)*6</f>
        <v>22</v>
      </c>
      <c r="J91" s="12" t="str">
        <f>IF(J90&lt;I87,"有效","无效")</f>
        <v>有效</v>
      </c>
      <c r="K91" s="20"/>
      <c r="L91" s="6" t="str">
        <f>IF(R91&lt;=12,"有效","无效")</f>
        <v>有效</v>
      </c>
      <c r="M91" s="34" t="s">
        <v>530</v>
      </c>
      <c r="N91" s="35"/>
      <c r="O91" s="35"/>
      <c r="P91" s="35"/>
      <c r="Q91" s="36"/>
      <c r="R91" s="10">
        <f>LEN(M91)</f>
        <v>9</v>
      </c>
      <c r="S91" s="10">
        <f>MOD(R91,2)*4+FLOOR(R91/2,1)*6</f>
        <v>28</v>
      </c>
      <c r="T91" s="12" t="str">
        <f>IF(T90&lt;I87,"有效","无效")</f>
        <v>有效</v>
      </c>
    </row>
    <row r="92" spans="1:20" ht="20" customHeight="1">
      <c r="A92" s="22">
        <v>19</v>
      </c>
      <c r="B92" s="23" t="s">
        <v>33</v>
      </c>
      <c r="C92" s="24" t="s">
        <v>34</v>
      </c>
      <c r="D92" s="14">
        <f>LEN($B92)</f>
        <v>3</v>
      </c>
      <c r="E92" s="14">
        <f>LEN(C92)+3</f>
        <v>4</v>
      </c>
      <c r="F92" s="14">
        <f>MOD(D92,2)*4+FLOOR(D92/2,1)*6</f>
        <v>10</v>
      </c>
      <c r="G92" s="14">
        <f>MOD(E92,2)*4+FLOOR(E92/2,1)*6</f>
        <v>12</v>
      </c>
      <c r="H92" s="14">
        <v>12</v>
      </c>
      <c r="I92" s="14">
        <f>108-H92-G92-F92</f>
        <v>74</v>
      </c>
    </row>
    <row r="93" spans="1:20" ht="20" customHeight="1">
      <c r="A93" s="22"/>
      <c r="B93" s="6" t="str">
        <f>IF(H93&lt;=12,"有效","无效")</f>
        <v>有效</v>
      </c>
      <c r="C93" s="34" t="s">
        <v>533</v>
      </c>
      <c r="D93" s="35"/>
      <c r="E93" s="35"/>
      <c r="F93" s="35"/>
      <c r="G93" s="36"/>
      <c r="H93" s="4">
        <f>LEN(C93)</f>
        <v>11</v>
      </c>
      <c r="I93" s="11">
        <f>MOD(H93,2)*4+FLOOR(H93/2,1)*6</f>
        <v>34</v>
      </c>
      <c r="J93" s="12">
        <f>I93+I94</f>
        <v>62</v>
      </c>
      <c r="K93" s="20"/>
      <c r="L93" s="13" t="str">
        <f>IF(R93&lt;=12,"有效","无效")</f>
        <v>有效</v>
      </c>
      <c r="M93" s="32" t="s">
        <v>532</v>
      </c>
      <c r="N93" s="32"/>
      <c r="O93" s="32"/>
      <c r="P93" s="32"/>
      <c r="Q93" s="33"/>
      <c r="R93" s="10">
        <f>LEN(M93)</f>
        <v>10</v>
      </c>
      <c r="S93" s="10">
        <f>MOD(R93,2)*4+FLOOR(R93/2,1)*6</f>
        <v>30</v>
      </c>
      <c r="T93" s="12">
        <f>S93+S94</f>
        <v>60</v>
      </c>
    </row>
    <row r="94" spans="1:20" ht="20" customHeight="1">
      <c r="A94" s="22"/>
      <c r="B94" s="6" t="str">
        <f>IF(H94&lt;=12,"有效","无效")</f>
        <v>有效</v>
      </c>
      <c r="C94" s="34" t="s">
        <v>535</v>
      </c>
      <c r="D94" s="35"/>
      <c r="E94" s="35"/>
      <c r="F94" s="35"/>
      <c r="G94" s="36"/>
      <c r="H94" s="4">
        <f>LEN(C94)</f>
        <v>9</v>
      </c>
      <c r="I94" s="11">
        <f>MOD(H94,2)*4+FLOOR(H94/2,1)*6</f>
        <v>28</v>
      </c>
      <c r="J94" s="12" t="str">
        <f>IF(J93&lt;I92,"有效","无效")</f>
        <v>有效</v>
      </c>
      <c r="K94" s="20"/>
      <c r="L94" s="6" t="str">
        <f>IF(R94&lt;=12,"有效","无效")</f>
        <v>有效</v>
      </c>
      <c r="M94" s="31" t="s">
        <v>2262</v>
      </c>
      <c r="N94" s="32"/>
      <c r="O94" s="32"/>
      <c r="P94" s="32"/>
      <c r="Q94" s="33"/>
      <c r="R94" s="10">
        <f>LEN(M94)</f>
        <v>10</v>
      </c>
      <c r="S94" s="10">
        <f>MOD(R94,2)*4+FLOOR(R94/2,1)*6</f>
        <v>30</v>
      </c>
      <c r="T94" s="12" t="str">
        <f>IF(T93&lt;I92,"有效","无效")</f>
        <v>有效</v>
      </c>
    </row>
    <row r="95" spans="1:20" ht="20" customHeight="1">
      <c r="A95" s="22"/>
      <c r="B95" s="6" t="str">
        <f>IF(H95&lt;=12,"有效","无效")</f>
        <v>有效</v>
      </c>
      <c r="C95" s="34" t="s">
        <v>536</v>
      </c>
      <c r="D95" s="35"/>
      <c r="E95" s="35"/>
      <c r="F95" s="35"/>
      <c r="G95" s="36"/>
      <c r="H95" s="4">
        <f>LEN(C95)</f>
        <v>10</v>
      </c>
      <c r="I95" s="11">
        <f>MOD(H95,2)*4+FLOOR(H95/2,1)*6</f>
        <v>30</v>
      </c>
      <c r="J95" s="12">
        <f>I95+I96</f>
        <v>54</v>
      </c>
      <c r="K95" s="20"/>
      <c r="L95" s="6" t="str">
        <f>IF(R95&lt;=12,"有效","无效")</f>
        <v>有效</v>
      </c>
      <c r="M95" s="31" t="s">
        <v>2264</v>
      </c>
      <c r="N95" s="32"/>
      <c r="O95" s="32"/>
      <c r="P95" s="32"/>
      <c r="Q95" s="33"/>
      <c r="R95" s="10">
        <f>LEN(M95)</f>
        <v>2</v>
      </c>
      <c r="S95" s="10">
        <f>MOD(R95,2)*4+FLOOR(R95/2,1)*6</f>
        <v>6</v>
      </c>
      <c r="T95" s="12">
        <f>S95+S96</f>
        <v>22</v>
      </c>
    </row>
    <row r="96" spans="1:20" ht="20" customHeight="1">
      <c r="A96" s="22"/>
      <c r="B96" s="6" t="str">
        <f>IF(H96&lt;=12,"有效","无效")</f>
        <v>有效</v>
      </c>
      <c r="C96" s="34" t="s">
        <v>534</v>
      </c>
      <c r="D96" s="35"/>
      <c r="E96" s="35"/>
      <c r="F96" s="35"/>
      <c r="G96" s="36"/>
      <c r="H96" s="4">
        <f>LEN(C96)</f>
        <v>8</v>
      </c>
      <c r="I96" s="11">
        <f>MOD(H96,2)*4+FLOOR(H96/2,1)*6</f>
        <v>24</v>
      </c>
      <c r="J96" s="12" t="str">
        <f>IF(J95&lt;I92,"有效","无效")</f>
        <v>有效</v>
      </c>
      <c r="K96" s="20"/>
      <c r="L96" s="6" t="str">
        <f>IF(R96&lt;=12,"有效","无效")</f>
        <v>有效</v>
      </c>
      <c r="M96" s="31" t="s">
        <v>2263</v>
      </c>
      <c r="N96" s="32"/>
      <c r="O96" s="32"/>
      <c r="P96" s="32"/>
      <c r="Q96" s="33"/>
      <c r="R96" s="10">
        <f>LEN(M96)</f>
        <v>5</v>
      </c>
      <c r="S96" s="10">
        <f>MOD(R96,2)*4+FLOOR(R96/2,1)*6</f>
        <v>16</v>
      </c>
      <c r="T96" s="12" t="str">
        <f>IF(T95&lt;I92,"有效","无效")</f>
        <v>有效</v>
      </c>
    </row>
    <row r="97" spans="1:20" ht="20" customHeight="1">
      <c r="A97" s="22">
        <v>20</v>
      </c>
      <c r="B97" s="23" t="s">
        <v>35</v>
      </c>
      <c r="C97" s="24" t="s">
        <v>34</v>
      </c>
      <c r="D97" s="14">
        <f>LEN($B97)</f>
        <v>2</v>
      </c>
      <c r="E97" s="14">
        <f>LEN(C97)+3</f>
        <v>4</v>
      </c>
      <c r="F97" s="14">
        <f>MOD(D97,2)*4+FLOOR(D97/2,1)*6</f>
        <v>6</v>
      </c>
      <c r="G97" s="14">
        <f>MOD(E97,2)*4+FLOOR(E97/2,1)*6</f>
        <v>12</v>
      </c>
      <c r="H97" s="14">
        <v>12</v>
      </c>
      <c r="I97" s="14">
        <f>108-H97-G97-F97</f>
        <v>78</v>
      </c>
    </row>
    <row r="98" spans="1:20" ht="20" customHeight="1">
      <c r="A98" s="22"/>
      <c r="B98" s="6" t="str">
        <f>IF(H98&lt;=12,"有效","无效")</f>
        <v>有效</v>
      </c>
      <c r="C98" s="34" t="s">
        <v>537</v>
      </c>
      <c r="D98" s="35"/>
      <c r="E98" s="35"/>
      <c r="F98" s="35"/>
      <c r="G98" s="36"/>
      <c r="H98" s="4">
        <f>LEN(C98)</f>
        <v>5</v>
      </c>
      <c r="I98" s="11">
        <f>MOD(H98,2)*4+FLOOR(H98/2,1)*6</f>
        <v>16</v>
      </c>
      <c r="J98" s="12">
        <f>I98+I99</f>
        <v>40</v>
      </c>
      <c r="K98" s="20"/>
      <c r="L98" s="13" t="str">
        <f>IF(R98&lt;=12,"有效","无效")</f>
        <v>有效</v>
      </c>
      <c r="M98" s="35" t="s">
        <v>543</v>
      </c>
      <c r="N98" s="35"/>
      <c r="O98" s="35"/>
      <c r="P98" s="35"/>
      <c r="Q98" s="36"/>
      <c r="R98" s="10">
        <f>LEN(M98)</f>
        <v>10</v>
      </c>
      <c r="S98" s="10">
        <f>MOD(R98,2)*4+FLOOR(R98/2,1)*6</f>
        <v>30</v>
      </c>
      <c r="T98" s="12">
        <f>S98+S99</f>
        <v>60</v>
      </c>
    </row>
    <row r="99" spans="1:20" ht="20" customHeight="1">
      <c r="A99" s="22"/>
      <c r="B99" s="6" t="str">
        <f>IF(H99&lt;=12,"有效","无效")</f>
        <v>有效</v>
      </c>
      <c r="C99" s="34" t="s">
        <v>542</v>
      </c>
      <c r="D99" s="35"/>
      <c r="E99" s="35"/>
      <c r="F99" s="35"/>
      <c r="G99" s="36"/>
      <c r="H99" s="4">
        <f>LEN(C99)</f>
        <v>8</v>
      </c>
      <c r="I99" s="11">
        <f>MOD(H99,2)*4+FLOOR(H99/2,1)*6</f>
        <v>24</v>
      </c>
      <c r="J99" s="12" t="str">
        <f>IF(J98&lt;I97,"有效","无效")</f>
        <v>有效</v>
      </c>
      <c r="K99" s="20"/>
      <c r="L99" s="6" t="str">
        <f>IF(R99&lt;=12,"有效","无效")</f>
        <v>有效</v>
      </c>
      <c r="M99" s="34" t="s">
        <v>540</v>
      </c>
      <c r="N99" s="35"/>
      <c r="O99" s="35"/>
      <c r="P99" s="35"/>
      <c r="Q99" s="36"/>
      <c r="R99" s="10">
        <f>LEN(M99)</f>
        <v>10</v>
      </c>
      <c r="S99" s="10">
        <f>MOD(R99,2)*4+FLOOR(R99/2,1)*6</f>
        <v>30</v>
      </c>
      <c r="T99" s="12" t="str">
        <f>IF(T98&lt;I97,"有效","无效")</f>
        <v>有效</v>
      </c>
    </row>
    <row r="100" spans="1:20" ht="20" customHeight="1">
      <c r="A100" s="22"/>
      <c r="B100" s="6" t="str">
        <f>IF(H100&lt;=12,"有效","无效")</f>
        <v>有效</v>
      </c>
      <c r="C100" s="34" t="s">
        <v>538</v>
      </c>
      <c r="D100" s="35"/>
      <c r="E100" s="35"/>
      <c r="F100" s="35"/>
      <c r="G100" s="36"/>
      <c r="H100" s="4">
        <f>LEN(C100)</f>
        <v>8</v>
      </c>
      <c r="I100" s="11">
        <f>MOD(H100,2)*4+FLOOR(H100/2,1)*6</f>
        <v>24</v>
      </c>
      <c r="J100" s="12">
        <f>I100+I101</f>
        <v>46</v>
      </c>
      <c r="K100" s="20"/>
      <c r="L100" s="6" t="str">
        <f>IF(R100&lt;=12,"有效","无效")</f>
        <v>有效</v>
      </c>
      <c r="M100" s="34" t="s">
        <v>541</v>
      </c>
      <c r="N100" s="35"/>
      <c r="O100" s="35"/>
      <c r="P100" s="35"/>
      <c r="Q100" s="36"/>
      <c r="R100" s="10">
        <f>LEN(M100)</f>
        <v>5</v>
      </c>
      <c r="S100" s="10">
        <f>MOD(R100,2)*4+FLOOR(R100/2,1)*6</f>
        <v>16</v>
      </c>
      <c r="T100" s="12">
        <f>S100+S101</f>
        <v>40</v>
      </c>
    </row>
    <row r="101" spans="1:20" ht="20" customHeight="1">
      <c r="A101" s="22"/>
      <c r="B101" s="6" t="str">
        <f>IF(H101&lt;=12,"有效","无效")</f>
        <v>有效</v>
      </c>
      <c r="C101" s="34" t="s">
        <v>539</v>
      </c>
      <c r="D101" s="35"/>
      <c r="E101" s="35"/>
      <c r="F101" s="35"/>
      <c r="G101" s="36"/>
      <c r="H101" s="4">
        <f>LEN(C101)</f>
        <v>7</v>
      </c>
      <c r="I101" s="11">
        <f>MOD(H101,2)*4+FLOOR(H101/2,1)*6</f>
        <v>22</v>
      </c>
      <c r="J101" s="12" t="str">
        <f>IF(J100&lt;I97,"有效","无效")</f>
        <v>有效</v>
      </c>
      <c r="K101" s="20"/>
      <c r="L101" s="6" t="str">
        <f>IF(R101&lt;=12,"有效","无效")</f>
        <v>有效</v>
      </c>
      <c r="M101" s="34" t="s">
        <v>544</v>
      </c>
      <c r="N101" s="35"/>
      <c r="O101" s="35"/>
      <c r="P101" s="35"/>
      <c r="Q101" s="36"/>
      <c r="R101" s="10">
        <f>LEN(M101)</f>
        <v>8</v>
      </c>
      <c r="S101" s="10">
        <f>MOD(R101,2)*4+FLOOR(R101/2,1)*6</f>
        <v>24</v>
      </c>
      <c r="T101" s="12" t="str">
        <f>IF(T100&lt;I97,"有效","无效")</f>
        <v>有效</v>
      </c>
    </row>
    <row r="102" spans="1:20" ht="20" customHeight="1">
      <c r="A102" s="22">
        <v>21</v>
      </c>
      <c r="B102" s="23" t="s">
        <v>36</v>
      </c>
      <c r="C102" s="24" t="s">
        <v>29</v>
      </c>
      <c r="D102" s="14">
        <f>LEN($B102)</f>
        <v>2</v>
      </c>
      <c r="E102" s="14">
        <f>LEN(C102)+3</f>
        <v>5</v>
      </c>
      <c r="F102" s="14">
        <f>MOD(D102,2)*4+FLOOR(D102/2,1)*6</f>
        <v>6</v>
      </c>
      <c r="G102" s="14">
        <f>MOD(E102,2)*4+FLOOR(E102/2,1)*6</f>
        <v>16</v>
      </c>
      <c r="H102" s="14">
        <v>12</v>
      </c>
      <c r="I102" s="14">
        <f>108-H102-G102-F102</f>
        <v>74</v>
      </c>
    </row>
    <row r="103" spans="1:20" ht="20" customHeight="1">
      <c r="A103" s="22"/>
      <c r="B103" s="6" t="str">
        <f>IF(H103&lt;=12,"有效","无效")</f>
        <v>有效</v>
      </c>
      <c r="C103" s="34" t="s">
        <v>549</v>
      </c>
      <c r="D103" s="35"/>
      <c r="E103" s="35"/>
      <c r="F103" s="35"/>
      <c r="G103" s="36"/>
      <c r="H103" s="4">
        <f>LEN(C103)</f>
        <v>8</v>
      </c>
      <c r="I103" s="11">
        <f>MOD(H103,2)*4+FLOOR(H103/2,1)*6</f>
        <v>24</v>
      </c>
      <c r="J103" s="12">
        <f>I103+I104</f>
        <v>58</v>
      </c>
      <c r="K103" s="20"/>
      <c r="L103" s="13" t="str">
        <f>IF(R103&lt;=12,"有效","无效")</f>
        <v>有效</v>
      </c>
      <c r="M103" s="32" t="s">
        <v>547</v>
      </c>
      <c r="N103" s="32"/>
      <c r="O103" s="32"/>
      <c r="P103" s="32"/>
      <c r="Q103" s="33"/>
      <c r="R103" s="10">
        <f>LEN(M103)</f>
        <v>4</v>
      </c>
      <c r="S103" s="10">
        <f>MOD(R103,2)*4+FLOOR(R103/2,1)*6</f>
        <v>12</v>
      </c>
      <c r="T103" s="12">
        <f>S103+S104</f>
        <v>30</v>
      </c>
    </row>
    <row r="104" spans="1:20" ht="20" customHeight="1">
      <c r="A104" s="22"/>
      <c r="B104" s="6" t="str">
        <f>IF(H104&lt;=12,"有效","无效")</f>
        <v>有效</v>
      </c>
      <c r="C104" s="34" t="s">
        <v>550</v>
      </c>
      <c r="D104" s="35"/>
      <c r="E104" s="35"/>
      <c r="F104" s="35"/>
      <c r="G104" s="36"/>
      <c r="H104" s="4">
        <f>LEN(C104)</f>
        <v>11</v>
      </c>
      <c r="I104" s="11">
        <f>MOD(H104,2)*4+FLOOR(H104/2,1)*6</f>
        <v>34</v>
      </c>
      <c r="J104" s="12" t="str">
        <f>IF(J103&lt;I102,"有效","无效")</f>
        <v>有效</v>
      </c>
      <c r="K104" s="20"/>
      <c r="L104" s="6" t="str">
        <f>IF(R104&lt;=12,"有效","无效")</f>
        <v>有效</v>
      </c>
      <c r="M104" s="31" t="s">
        <v>548</v>
      </c>
      <c r="N104" s="32"/>
      <c r="O104" s="32"/>
      <c r="P104" s="32"/>
      <c r="Q104" s="33"/>
      <c r="R104" s="10">
        <f>LEN(M104)</f>
        <v>6</v>
      </c>
      <c r="S104" s="10">
        <f>MOD(R104,2)*4+FLOOR(R104/2,1)*6</f>
        <v>18</v>
      </c>
      <c r="T104" s="12" t="str">
        <f>IF(T103&lt;I102,"有效","无效")</f>
        <v>有效</v>
      </c>
    </row>
    <row r="105" spans="1:20" ht="20" customHeight="1">
      <c r="A105" s="22"/>
      <c r="B105" s="6" t="str">
        <f>IF(H105&lt;=12,"有效","无效")</f>
        <v>有效</v>
      </c>
      <c r="C105" s="34" t="s">
        <v>552</v>
      </c>
      <c r="D105" s="35"/>
      <c r="E105" s="35"/>
      <c r="F105" s="35"/>
      <c r="G105" s="36"/>
      <c r="H105" s="4">
        <f>LEN(C105)</f>
        <v>5</v>
      </c>
      <c r="I105" s="11">
        <f>MOD(H105,2)*4+FLOOR(H105/2,1)*6</f>
        <v>16</v>
      </c>
      <c r="J105" s="12">
        <f>I105+I106</f>
        <v>32</v>
      </c>
      <c r="K105" s="20"/>
      <c r="L105" s="6" t="str">
        <f>IF(R105&lt;=12,"有效","无效")</f>
        <v>有效</v>
      </c>
      <c r="M105" s="31" t="s">
        <v>546</v>
      </c>
      <c r="N105" s="32"/>
      <c r="O105" s="32"/>
      <c r="P105" s="32"/>
      <c r="Q105" s="33"/>
      <c r="R105" s="10">
        <f>LEN(M105)</f>
        <v>10</v>
      </c>
      <c r="S105" s="10">
        <f>MOD(R105,2)*4+FLOOR(R105/2,1)*6</f>
        <v>30</v>
      </c>
      <c r="T105" s="12">
        <f>S105+S106</f>
        <v>54</v>
      </c>
    </row>
    <row r="106" spans="1:20" ht="20" customHeight="1">
      <c r="A106" s="22"/>
      <c r="B106" s="6" t="str">
        <f>IF(H106&lt;=12,"有效","无效")</f>
        <v>有效</v>
      </c>
      <c r="C106" s="34" t="s">
        <v>551</v>
      </c>
      <c r="D106" s="35"/>
      <c r="E106" s="35"/>
      <c r="F106" s="35"/>
      <c r="G106" s="36"/>
      <c r="H106" s="4">
        <f>LEN(C106)</f>
        <v>5</v>
      </c>
      <c r="I106" s="11">
        <f>MOD(H106,2)*4+FLOOR(H106/2,1)*6</f>
        <v>16</v>
      </c>
      <c r="J106" s="12" t="str">
        <f>IF(J105&lt;I102,"有效","无效")</f>
        <v>有效</v>
      </c>
      <c r="K106" s="20"/>
      <c r="L106" s="6" t="str">
        <f>IF(R106&lt;=12,"有效","无效")</f>
        <v>有效</v>
      </c>
      <c r="M106" s="31" t="s">
        <v>545</v>
      </c>
      <c r="N106" s="32"/>
      <c r="O106" s="32"/>
      <c r="P106" s="32"/>
      <c r="Q106" s="33"/>
      <c r="R106" s="10">
        <f>LEN(M106)</f>
        <v>8</v>
      </c>
      <c r="S106" s="10">
        <f>MOD(R106,2)*4+FLOOR(R106/2,1)*6</f>
        <v>24</v>
      </c>
      <c r="T106" s="12" t="str">
        <f>IF(T105&lt;I102,"有效","无效")</f>
        <v>有效</v>
      </c>
    </row>
    <row r="107" spans="1:20" ht="20" customHeight="1">
      <c r="A107" s="22">
        <v>22</v>
      </c>
      <c r="B107" s="23" t="s">
        <v>37</v>
      </c>
      <c r="C107" s="24" t="s">
        <v>38</v>
      </c>
      <c r="D107" s="14">
        <f>LEN($B107)</f>
        <v>3</v>
      </c>
      <c r="E107" s="14">
        <f>LEN(C107)+3</f>
        <v>5</v>
      </c>
      <c r="F107" s="14">
        <f>MOD(D107,2)*4+FLOOR(D107/2,1)*6</f>
        <v>10</v>
      </c>
      <c r="G107" s="14">
        <f>MOD(E107,2)*4+FLOOR(E107/2,1)*6</f>
        <v>16</v>
      </c>
      <c r="H107" s="14">
        <v>12</v>
      </c>
      <c r="I107" s="14">
        <f>108-H107-G107-F107</f>
        <v>70</v>
      </c>
    </row>
    <row r="108" spans="1:20" ht="20" customHeight="1">
      <c r="A108" s="22"/>
      <c r="B108" s="6" t="str">
        <f>IF(H108&lt;=12,"有效","无效")</f>
        <v>有效</v>
      </c>
      <c r="C108" s="34" t="s">
        <v>556</v>
      </c>
      <c r="D108" s="35"/>
      <c r="E108" s="35"/>
      <c r="F108" s="35"/>
      <c r="G108" s="36"/>
      <c r="H108" s="4">
        <f>LEN(C108)</f>
        <v>4</v>
      </c>
      <c r="I108" s="11">
        <f>MOD(H108,2)*4+FLOOR(H108/2,1)*6</f>
        <v>12</v>
      </c>
      <c r="J108" s="12">
        <f>I108+I109</f>
        <v>34</v>
      </c>
      <c r="K108" s="20"/>
      <c r="L108" s="13" t="str">
        <f>IF(R108&lt;=12,"有效","无效")</f>
        <v>有效</v>
      </c>
      <c r="M108" s="35" t="s">
        <v>560</v>
      </c>
      <c r="N108" s="35"/>
      <c r="O108" s="35"/>
      <c r="P108" s="35"/>
      <c r="Q108" s="36"/>
      <c r="R108" s="10">
        <f>LEN(M108)</f>
        <v>6</v>
      </c>
      <c r="S108" s="10">
        <f>MOD(R108,2)*4+FLOOR(R108/2,1)*6</f>
        <v>18</v>
      </c>
      <c r="T108" s="12">
        <f>S108+S109</f>
        <v>34</v>
      </c>
    </row>
    <row r="109" spans="1:20" ht="20" customHeight="1">
      <c r="A109" s="22"/>
      <c r="B109" s="6" t="str">
        <f>IF(H109&lt;=12,"有效","无效")</f>
        <v>有效</v>
      </c>
      <c r="C109" s="34" t="s">
        <v>557</v>
      </c>
      <c r="D109" s="35"/>
      <c r="E109" s="35"/>
      <c r="F109" s="35"/>
      <c r="G109" s="36"/>
      <c r="H109" s="4">
        <f>LEN(C109)</f>
        <v>7</v>
      </c>
      <c r="I109" s="11">
        <f>MOD(H109,2)*4+FLOOR(H109/2,1)*6</f>
        <v>22</v>
      </c>
      <c r="J109" s="12" t="str">
        <f>IF(J108&lt;I107,"有效","无效")</f>
        <v>有效</v>
      </c>
      <c r="K109" s="20"/>
      <c r="L109" s="6" t="str">
        <f>IF(R109&lt;=12,"有效","无效")</f>
        <v>有效</v>
      </c>
      <c r="M109" s="34" t="s">
        <v>561</v>
      </c>
      <c r="N109" s="35"/>
      <c r="O109" s="35"/>
      <c r="P109" s="35"/>
      <c r="Q109" s="36"/>
      <c r="R109" s="10">
        <f>LEN(M109)</f>
        <v>5</v>
      </c>
      <c r="S109" s="10">
        <f>MOD(R109,2)*4+FLOOR(R109/2,1)*6</f>
        <v>16</v>
      </c>
      <c r="T109" s="12" t="str">
        <f>IF(T108&lt;I107,"有效","无效")</f>
        <v>有效</v>
      </c>
    </row>
    <row r="110" spans="1:20" ht="20" customHeight="1">
      <c r="A110" s="22"/>
      <c r="B110" s="6" t="str">
        <f>IF(H110&lt;=12,"有效","无效")</f>
        <v>有效</v>
      </c>
      <c r="C110" s="34" t="s">
        <v>559</v>
      </c>
      <c r="D110" s="35"/>
      <c r="E110" s="35"/>
      <c r="F110" s="35"/>
      <c r="G110" s="36"/>
      <c r="H110" s="4">
        <f>LEN(C110)</f>
        <v>8</v>
      </c>
      <c r="I110" s="11">
        <f>MOD(H110,2)*4+FLOOR(H110/2,1)*6</f>
        <v>24</v>
      </c>
      <c r="J110" s="12">
        <f>I110+I111</f>
        <v>46</v>
      </c>
      <c r="K110" s="20"/>
      <c r="L110" s="6" t="str">
        <f>IF(R110&lt;=12,"有效","无效")</f>
        <v>有效</v>
      </c>
      <c r="M110" s="34" t="s">
        <v>562</v>
      </c>
      <c r="N110" s="35"/>
      <c r="O110" s="35"/>
      <c r="P110" s="35"/>
      <c r="Q110" s="36"/>
      <c r="R110" s="10">
        <f>LEN(M110)</f>
        <v>9</v>
      </c>
      <c r="S110" s="10">
        <f>MOD(R110,2)*4+FLOOR(R110/2,1)*6</f>
        <v>28</v>
      </c>
      <c r="T110" s="12">
        <f>S110+S111</f>
        <v>44</v>
      </c>
    </row>
    <row r="111" spans="1:20" ht="20" customHeight="1">
      <c r="A111" s="22"/>
      <c r="B111" s="6" t="str">
        <f>IF(H111&lt;=12,"有效","无效")</f>
        <v>有效</v>
      </c>
      <c r="C111" s="34" t="s">
        <v>558</v>
      </c>
      <c r="D111" s="35"/>
      <c r="E111" s="35"/>
      <c r="F111" s="35"/>
      <c r="G111" s="36"/>
      <c r="H111" s="4">
        <f>LEN(C111)</f>
        <v>7</v>
      </c>
      <c r="I111" s="11">
        <f>MOD(H111,2)*4+FLOOR(H111/2,1)*6</f>
        <v>22</v>
      </c>
      <c r="J111" s="12" t="str">
        <f>IF(J110&lt;I107,"有效","无效")</f>
        <v>有效</v>
      </c>
      <c r="K111" s="20"/>
      <c r="L111" s="6" t="str">
        <f>IF(R111&lt;=12,"有效","无效")</f>
        <v>有效</v>
      </c>
      <c r="M111" s="34" t="s">
        <v>563</v>
      </c>
      <c r="N111" s="35"/>
      <c r="O111" s="35"/>
      <c r="P111" s="35"/>
      <c r="Q111" s="36"/>
      <c r="R111" s="10">
        <f>LEN(M111)</f>
        <v>5</v>
      </c>
      <c r="S111" s="10">
        <f>MOD(R111,2)*4+FLOOR(R111/2,1)*6</f>
        <v>16</v>
      </c>
      <c r="T111" s="12" t="str">
        <f>IF(T110&lt;I107,"有效","无效")</f>
        <v>有效</v>
      </c>
    </row>
    <row r="112" spans="1:20" ht="20" customHeight="1">
      <c r="A112" s="22">
        <v>23</v>
      </c>
      <c r="B112" s="23" t="s">
        <v>39</v>
      </c>
      <c r="C112" s="24" t="s">
        <v>40</v>
      </c>
      <c r="D112" s="14">
        <f>LEN($B112)</f>
        <v>3</v>
      </c>
      <c r="E112" s="14">
        <f>LEN(C112)+3</f>
        <v>4</v>
      </c>
      <c r="F112" s="14">
        <f>MOD(D112,2)*4+FLOOR(D112/2,1)*6</f>
        <v>10</v>
      </c>
      <c r="G112" s="14">
        <f>MOD(E112,2)*4+FLOOR(E112/2,1)*6</f>
        <v>12</v>
      </c>
      <c r="H112" s="14">
        <v>12</v>
      </c>
      <c r="I112" s="14">
        <f>108-H112-G112-F112</f>
        <v>74</v>
      </c>
    </row>
    <row r="113" spans="1:20" ht="20" customHeight="1">
      <c r="A113" s="22"/>
      <c r="B113" s="6" t="str">
        <f>IF(H113&lt;=12,"有效","无效")</f>
        <v>有效</v>
      </c>
      <c r="C113" s="31" t="s">
        <v>564</v>
      </c>
      <c r="D113" s="32"/>
      <c r="E113" s="32"/>
      <c r="F113" s="32"/>
      <c r="G113" s="33"/>
      <c r="H113" s="4">
        <f>LEN(C113)</f>
        <v>4</v>
      </c>
      <c r="I113" s="11">
        <f>MOD(H113,2)*4+FLOOR(H113/2,1)*6</f>
        <v>12</v>
      </c>
      <c r="J113" s="12">
        <f>I113+I114</f>
        <v>30</v>
      </c>
      <c r="K113" s="20"/>
      <c r="L113" s="13" t="str">
        <f>IF(R113&lt;=12,"有效","无效")</f>
        <v>有效</v>
      </c>
      <c r="M113" s="35" t="s">
        <v>568</v>
      </c>
      <c r="N113" s="35"/>
      <c r="O113" s="35"/>
      <c r="P113" s="35"/>
      <c r="Q113" s="36"/>
      <c r="R113" s="10">
        <f>LEN(M113)</f>
        <v>8</v>
      </c>
      <c r="S113" s="10">
        <f>MOD(R113,2)*4+FLOOR(R113/2,1)*6</f>
        <v>24</v>
      </c>
      <c r="T113" s="12">
        <f>S113+S114</f>
        <v>58</v>
      </c>
    </row>
    <row r="114" spans="1:20" ht="20" customHeight="1">
      <c r="A114" s="22"/>
      <c r="B114" s="6" t="str">
        <f>IF(H114&lt;=12,"有效","无效")</f>
        <v>有效</v>
      </c>
      <c r="C114" s="31" t="s">
        <v>565</v>
      </c>
      <c r="D114" s="32"/>
      <c r="E114" s="32"/>
      <c r="F114" s="32"/>
      <c r="G114" s="33"/>
      <c r="H114" s="4">
        <f>LEN(C114)</f>
        <v>6</v>
      </c>
      <c r="I114" s="11">
        <f>MOD(H114,2)*4+FLOOR(H114/2,1)*6</f>
        <v>18</v>
      </c>
      <c r="J114" s="12" t="str">
        <f>IF(J113&lt;I112,"有效","无效")</f>
        <v>有效</v>
      </c>
      <c r="K114" s="20"/>
      <c r="L114" s="6" t="str">
        <f>IF(R114&lt;=12,"有效","无效")</f>
        <v>有效</v>
      </c>
      <c r="M114" s="34" t="s">
        <v>569</v>
      </c>
      <c r="N114" s="35"/>
      <c r="O114" s="35"/>
      <c r="P114" s="35"/>
      <c r="Q114" s="36"/>
      <c r="R114" s="10">
        <f>LEN(M114)</f>
        <v>11</v>
      </c>
      <c r="S114" s="10">
        <f>MOD(R114,2)*4+FLOOR(R114/2,1)*6</f>
        <v>34</v>
      </c>
      <c r="T114" s="12" t="str">
        <f>IF(T113&lt;I112,"有效","无效")</f>
        <v>有效</v>
      </c>
    </row>
    <row r="115" spans="1:20" ht="20" customHeight="1">
      <c r="A115" s="22"/>
      <c r="B115" s="6" t="str">
        <f>IF(H115&lt;=12,"有效","无效")</f>
        <v>有效</v>
      </c>
      <c r="C115" s="31" t="s">
        <v>566</v>
      </c>
      <c r="D115" s="32"/>
      <c r="E115" s="32"/>
      <c r="F115" s="32"/>
      <c r="G115" s="33"/>
      <c r="H115" s="4">
        <f>LEN(C115)</f>
        <v>12</v>
      </c>
      <c r="I115" s="11">
        <f>MOD(H115,2)*4+FLOOR(H115/2,1)*6</f>
        <v>36</v>
      </c>
      <c r="J115" s="12">
        <f>I115+I116</f>
        <v>72</v>
      </c>
      <c r="K115" s="20"/>
      <c r="L115" s="6" t="str">
        <f>IF(R115&lt;=12,"有效","无效")</f>
        <v>有效</v>
      </c>
      <c r="M115" s="34" t="s">
        <v>570</v>
      </c>
      <c r="N115" s="35"/>
      <c r="O115" s="35"/>
      <c r="P115" s="35"/>
      <c r="Q115" s="36"/>
      <c r="R115" s="10">
        <f>LEN(M115)</f>
        <v>6</v>
      </c>
      <c r="S115" s="10">
        <f>MOD(R115,2)*4+FLOOR(R115/2,1)*6</f>
        <v>18</v>
      </c>
      <c r="T115" s="12">
        <f>S115+S116</f>
        <v>42</v>
      </c>
    </row>
    <row r="116" spans="1:20" ht="20" customHeight="1">
      <c r="A116" s="22"/>
      <c r="B116" s="6" t="str">
        <f>IF(H116&lt;=12,"有效","无效")</f>
        <v>有效</v>
      </c>
      <c r="C116" s="31" t="s">
        <v>567</v>
      </c>
      <c r="D116" s="32"/>
      <c r="E116" s="32"/>
      <c r="F116" s="32"/>
      <c r="G116" s="33"/>
      <c r="H116" s="4">
        <f>LEN(C116)</f>
        <v>12</v>
      </c>
      <c r="I116" s="11">
        <f>MOD(H116,2)*4+FLOOR(H116/2,1)*6</f>
        <v>36</v>
      </c>
      <c r="J116" s="12" t="str">
        <f>IF(J115&lt;I112,"有效","无效")</f>
        <v>有效</v>
      </c>
      <c r="K116" s="20"/>
      <c r="L116" s="6" t="str">
        <f>IF(R116&lt;=12,"有效","无效")</f>
        <v>有效</v>
      </c>
      <c r="M116" s="34" t="s">
        <v>571</v>
      </c>
      <c r="N116" s="35"/>
      <c r="O116" s="35"/>
      <c r="P116" s="35"/>
      <c r="Q116" s="36"/>
      <c r="R116" s="10">
        <f>LEN(M116)</f>
        <v>8</v>
      </c>
      <c r="S116" s="10">
        <f>MOD(R116,2)*4+FLOOR(R116/2,1)*6</f>
        <v>24</v>
      </c>
      <c r="T116" s="12" t="str">
        <f>IF(T115&lt;I112,"有效","无效")</f>
        <v>有效</v>
      </c>
    </row>
    <row r="117" spans="1:20" ht="20" customHeight="1">
      <c r="A117" s="22">
        <v>24</v>
      </c>
      <c r="B117" s="23" t="s">
        <v>41</v>
      </c>
      <c r="C117" s="24" t="s">
        <v>42</v>
      </c>
      <c r="D117" s="14">
        <f>LEN($B117)</f>
        <v>3</v>
      </c>
      <c r="E117" s="14">
        <f>LEN(C117)+3</f>
        <v>6</v>
      </c>
      <c r="F117" s="14">
        <f>MOD(D117,2)*4+FLOOR(D117/2,1)*6</f>
        <v>10</v>
      </c>
      <c r="G117" s="14">
        <f>MOD(E117,2)*4+FLOOR(E117/2,1)*6</f>
        <v>18</v>
      </c>
      <c r="H117" s="14">
        <v>12</v>
      </c>
      <c r="I117" s="14">
        <f>108-H117-G117-F117</f>
        <v>68</v>
      </c>
    </row>
    <row r="118" spans="1:20" ht="20" customHeight="1">
      <c r="A118" s="22"/>
      <c r="B118" s="6" t="str">
        <f>IF(H118&lt;=12,"有效","无效")</f>
        <v>有效</v>
      </c>
      <c r="C118" s="34" t="s">
        <v>576</v>
      </c>
      <c r="D118" s="35"/>
      <c r="E118" s="35"/>
      <c r="F118" s="35"/>
      <c r="G118" s="36"/>
      <c r="H118" s="4">
        <f>LEN(C118)</f>
        <v>7</v>
      </c>
      <c r="I118" s="11">
        <f>MOD(H118,2)*4+FLOOR(H118/2,1)*6</f>
        <v>22</v>
      </c>
      <c r="J118" s="12">
        <f>I118+I119</f>
        <v>46</v>
      </c>
      <c r="K118" s="20"/>
      <c r="L118" s="13" t="str">
        <f>IF(R118&lt;=12,"有效","无效")</f>
        <v>有效</v>
      </c>
      <c r="M118" s="32" t="s">
        <v>2266</v>
      </c>
      <c r="N118" s="32"/>
      <c r="O118" s="32"/>
      <c r="P118" s="32"/>
      <c r="Q118" s="33"/>
      <c r="R118" s="10">
        <f>LEN(M118)</f>
        <v>2</v>
      </c>
      <c r="S118" s="10">
        <f>MOD(R118,2)*4+FLOOR(R118/2,1)*6</f>
        <v>6</v>
      </c>
      <c r="T118" s="12">
        <f>S118+S119</f>
        <v>22</v>
      </c>
    </row>
    <row r="119" spans="1:20" ht="20" customHeight="1">
      <c r="A119" s="22"/>
      <c r="B119" s="6" t="str">
        <f>IF(H119&lt;=12,"有效","无效")</f>
        <v>有效</v>
      </c>
      <c r="C119" s="34" t="s">
        <v>575</v>
      </c>
      <c r="D119" s="35"/>
      <c r="E119" s="35"/>
      <c r="F119" s="35"/>
      <c r="G119" s="36"/>
      <c r="H119" s="4">
        <f>LEN(C119)</f>
        <v>8</v>
      </c>
      <c r="I119" s="11">
        <f>MOD(H119,2)*4+FLOOR(H119/2,1)*6</f>
        <v>24</v>
      </c>
      <c r="J119" s="12" t="str">
        <f>IF(J118&lt;I117,"有效","无效")</f>
        <v>有效</v>
      </c>
      <c r="K119" s="20"/>
      <c r="L119" s="6" t="str">
        <f>IF(R119&lt;=12,"有效","无效")</f>
        <v>有效</v>
      </c>
      <c r="M119" s="31" t="s">
        <v>2267</v>
      </c>
      <c r="N119" s="32"/>
      <c r="O119" s="32"/>
      <c r="P119" s="32"/>
      <c r="Q119" s="33"/>
      <c r="R119" s="10">
        <f>LEN(M119)</f>
        <v>5</v>
      </c>
      <c r="S119" s="10">
        <f>MOD(R119,2)*4+FLOOR(R119/2,1)*6</f>
        <v>16</v>
      </c>
      <c r="T119" s="12" t="str">
        <f>IF(T118&lt;I117,"有效","无效")</f>
        <v>有效</v>
      </c>
    </row>
    <row r="120" spans="1:20" ht="20" customHeight="1">
      <c r="A120" s="22"/>
      <c r="B120" s="6" t="str">
        <f>IF(H120&lt;=12,"有效","无效")</f>
        <v>有效</v>
      </c>
      <c r="C120" s="34" t="s">
        <v>581</v>
      </c>
      <c r="D120" s="35"/>
      <c r="E120" s="35"/>
      <c r="F120" s="35"/>
      <c r="G120" s="36"/>
      <c r="H120" s="4">
        <f>LEN(C120)</f>
        <v>8</v>
      </c>
      <c r="I120" s="11">
        <f>MOD(H120,2)*4+FLOOR(H120/2,1)*6</f>
        <v>24</v>
      </c>
      <c r="J120" s="12">
        <f>I120+I121</f>
        <v>46</v>
      </c>
      <c r="K120" s="20"/>
      <c r="L120" s="6" t="str">
        <f>IF(R120&lt;=12,"有效","无效")</f>
        <v>有效</v>
      </c>
      <c r="M120" s="31" t="s">
        <v>2265</v>
      </c>
      <c r="N120" s="32"/>
      <c r="O120" s="32"/>
      <c r="P120" s="32"/>
      <c r="Q120" s="33"/>
      <c r="R120" s="10">
        <f>LEN(M120)</f>
        <v>8</v>
      </c>
      <c r="S120" s="10">
        <f>MOD(R120,2)*4+FLOOR(R120/2,1)*6</f>
        <v>24</v>
      </c>
      <c r="T120" s="12">
        <f>S120+S121</f>
        <v>46</v>
      </c>
    </row>
    <row r="121" spans="1:20" ht="20" customHeight="1">
      <c r="A121" s="22"/>
      <c r="B121" s="6" t="str">
        <f>IF(H121&lt;=12,"有效","无效")</f>
        <v>有效</v>
      </c>
      <c r="C121" s="34" t="s">
        <v>574</v>
      </c>
      <c r="D121" s="35"/>
      <c r="E121" s="35"/>
      <c r="F121" s="35"/>
      <c r="G121" s="36"/>
      <c r="H121" s="4">
        <f>LEN(C121)</f>
        <v>7</v>
      </c>
      <c r="I121" s="11">
        <f>MOD(H121,2)*4+FLOOR(H121/2,1)*6</f>
        <v>22</v>
      </c>
      <c r="J121" s="12" t="str">
        <f>IF(J120&lt;I117,"有效","无效")</f>
        <v>有效</v>
      </c>
      <c r="K121" s="20"/>
      <c r="L121" s="6" t="str">
        <f>IF(R121&lt;=12,"有效","无效")</f>
        <v>有效</v>
      </c>
      <c r="M121" s="31" t="s">
        <v>572</v>
      </c>
      <c r="N121" s="32"/>
      <c r="O121" s="32"/>
      <c r="P121" s="32"/>
      <c r="Q121" s="33"/>
      <c r="R121" s="10">
        <f>LEN(M121)</f>
        <v>7</v>
      </c>
      <c r="S121" s="10">
        <f>MOD(R121,2)*4+FLOOR(R121/2,1)*6</f>
        <v>22</v>
      </c>
      <c r="T121" s="12" t="str">
        <f>IF(T120&lt;I117,"有效","无效")</f>
        <v>有效</v>
      </c>
    </row>
    <row r="122" spans="1:20" ht="20" customHeight="1">
      <c r="A122" s="22">
        <v>25</v>
      </c>
      <c r="B122" s="23" t="s">
        <v>43</v>
      </c>
      <c r="C122" s="24" t="s">
        <v>34</v>
      </c>
      <c r="D122" s="14">
        <f>LEN($B122)</f>
        <v>3</v>
      </c>
      <c r="E122" s="14">
        <f>LEN(C122)+3</f>
        <v>4</v>
      </c>
      <c r="F122" s="14">
        <f>MOD(D122,2)*4+FLOOR(D122/2,1)*6</f>
        <v>10</v>
      </c>
      <c r="G122" s="14">
        <f>MOD(E122,2)*4+FLOOR(E122/2,1)*6</f>
        <v>12</v>
      </c>
      <c r="H122" s="14">
        <v>12</v>
      </c>
      <c r="I122" s="14">
        <f>108-H122-G122-F122</f>
        <v>74</v>
      </c>
    </row>
    <row r="123" spans="1:20" ht="20" customHeight="1">
      <c r="A123" s="22"/>
      <c r="B123" s="6" t="str">
        <f>IF(H123&lt;=12,"有效","无效")</f>
        <v>有效</v>
      </c>
      <c r="C123" s="34" t="s">
        <v>584</v>
      </c>
      <c r="D123" s="35"/>
      <c r="E123" s="35"/>
      <c r="F123" s="35"/>
      <c r="G123" s="36"/>
      <c r="H123" s="4">
        <f>LEN(C123)</f>
        <v>2</v>
      </c>
      <c r="I123" s="11">
        <f>MOD(H123,2)*4+FLOOR(H123/2,1)*6</f>
        <v>6</v>
      </c>
      <c r="J123" s="12">
        <f>I123+I124</f>
        <v>30</v>
      </c>
      <c r="K123" s="20"/>
      <c r="L123" s="13" t="str">
        <f>IF(R123&lt;=12,"有效","无效")</f>
        <v>有效</v>
      </c>
      <c r="M123" s="32" t="s">
        <v>577</v>
      </c>
      <c r="N123" s="32"/>
      <c r="O123" s="32"/>
      <c r="P123" s="32"/>
      <c r="Q123" s="33"/>
      <c r="R123" s="10">
        <f>LEN(M123)</f>
        <v>4</v>
      </c>
      <c r="S123" s="10">
        <f>MOD(R123,2)*4+FLOOR(R123/2,1)*6</f>
        <v>12</v>
      </c>
      <c r="T123" s="12">
        <f>S123+S124</f>
        <v>40</v>
      </c>
    </row>
    <row r="124" spans="1:20" ht="20" customHeight="1">
      <c r="A124" s="22"/>
      <c r="B124" s="6" t="str">
        <f>IF(H124&lt;=12,"有效","无效")</f>
        <v>有效</v>
      </c>
      <c r="C124" s="34" t="s">
        <v>585</v>
      </c>
      <c r="D124" s="35"/>
      <c r="E124" s="35"/>
      <c r="F124" s="35"/>
      <c r="G124" s="36"/>
      <c r="H124" s="4">
        <f>LEN(C124)</f>
        <v>8</v>
      </c>
      <c r="I124" s="11">
        <f>MOD(H124,2)*4+FLOOR(H124/2,1)*6</f>
        <v>24</v>
      </c>
      <c r="J124" s="12" t="str">
        <f>IF(J123&lt;I122,"有效","无效")</f>
        <v>有效</v>
      </c>
      <c r="K124" s="20"/>
      <c r="L124" s="6" t="str">
        <f>IF(R124&lt;=12,"有效","无效")</f>
        <v>有效</v>
      </c>
      <c r="M124" s="31" t="s">
        <v>578</v>
      </c>
      <c r="N124" s="32"/>
      <c r="O124" s="32"/>
      <c r="P124" s="32"/>
      <c r="Q124" s="33"/>
      <c r="R124" s="10">
        <f>LEN(M124)</f>
        <v>9</v>
      </c>
      <c r="S124" s="10">
        <f>MOD(R124,2)*4+FLOOR(R124/2,1)*6</f>
        <v>28</v>
      </c>
      <c r="T124" s="12" t="str">
        <f>IF(T123&lt;I122,"有效","无效")</f>
        <v>有效</v>
      </c>
    </row>
    <row r="125" spans="1:20" ht="20" customHeight="1">
      <c r="A125" s="22"/>
      <c r="B125" s="6" t="str">
        <f>IF(H125&lt;=12,"有效","无效")</f>
        <v>有效</v>
      </c>
      <c r="C125" s="34" t="s">
        <v>582</v>
      </c>
      <c r="D125" s="35"/>
      <c r="E125" s="35"/>
      <c r="F125" s="35"/>
      <c r="G125" s="36"/>
      <c r="H125" s="4">
        <f>LEN(C125)</f>
        <v>7</v>
      </c>
      <c r="I125" s="11">
        <f>MOD(H125,2)*4+FLOOR(H125/2,1)*6</f>
        <v>22</v>
      </c>
      <c r="J125" s="12">
        <f>I125+I126</f>
        <v>40</v>
      </c>
      <c r="K125" s="20"/>
      <c r="L125" s="6" t="str">
        <f>IF(R125&lt;=12,"有效","无效")</f>
        <v>有效</v>
      </c>
      <c r="M125" s="31" t="s">
        <v>579</v>
      </c>
      <c r="N125" s="32"/>
      <c r="O125" s="32"/>
      <c r="P125" s="32"/>
      <c r="Q125" s="33"/>
      <c r="R125" s="10">
        <f>LEN(M125)</f>
        <v>6</v>
      </c>
      <c r="S125" s="10">
        <f>MOD(R125,2)*4+FLOOR(R125/2,1)*6</f>
        <v>18</v>
      </c>
      <c r="T125" s="12">
        <f>S125+S126</f>
        <v>42</v>
      </c>
    </row>
    <row r="126" spans="1:20" ht="20" customHeight="1">
      <c r="A126" s="22"/>
      <c r="B126" s="6" t="str">
        <f>IF(H126&lt;=12,"有效","无效")</f>
        <v>有效</v>
      </c>
      <c r="C126" s="34" t="s">
        <v>583</v>
      </c>
      <c r="D126" s="35"/>
      <c r="E126" s="35"/>
      <c r="F126" s="35"/>
      <c r="G126" s="36"/>
      <c r="H126" s="4">
        <f>LEN(C126)</f>
        <v>6</v>
      </c>
      <c r="I126" s="11">
        <f>MOD(H126,2)*4+FLOOR(H126/2,1)*6</f>
        <v>18</v>
      </c>
      <c r="J126" s="12" t="str">
        <f>IF(J125&lt;I122,"有效","无效")</f>
        <v>有效</v>
      </c>
      <c r="K126" s="20"/>
      <c r="L126" s="6" t="str">
        <f>IF(R126&lt;=12,"有效","无效")</f>
        <v>有效</v>
      </c>
      <c r="M126" s="31" t="s">
        <v>580</v>
      </c>
      <c r="N126" s="32"/>
      <c r="O126" s="32"/>
      <c r="P126" s="32"/>
      <c r="Q126" s="33"/>
      <c r="R126" s="10">
        <f>LEN(M126)</f>
        <v>8</v>
      </c>
      <c r="S126" s="10">
        <f>MOD(R126,2)*4+FLOOR(R126/2,1)*6</f>
        <v>24</v>
      </c>
      <c r="T126" s="12" t="str">
        <f>IF(T125&lt;I122,"有效","无效")</f>
        <v>有效</v>
      </c>
    </row>
    <row r="127" spans="1:20" ht="20" customHeight="1">
      <c r="A127" s="22">
        <v>26</v>
      </c>
      <c r="B127" s="23" t="s">
        <v>44</v>
      </c>
      <c r="C127" s="24" t="s">
        <v>34</v>
      </c>
      <c r="D127" s="14">
        <f>LEN($B127)</f>
        <v>2</v>
      </c>
      <c r="E127" s="14">
        <f>LEN(C127)+3</f>
        <v>4</v>
      </c>
      <c r="F127" s="14">
        <f>MOD(D127,2)*4+FLOOR(D127/2,1)*6</f>
        <v>6</v>
      </c>
      <c r="G127" s="14">
        <f>MOD(E127,2)*4+FLOOR(E127/2,1)*6</f>
        <v>12</v>
      </c>
      <c r="H127" s="14">
        <v>12</v>
      </c>
      <c r="I127" s="14">
        <f>108-H127-G127-F127</f>
        <v>78</v>
      </c>
    </row>
    <row r="128" spans="1:20" ht="20" customHeight="1">
      <c r="A128" s="22"/>
      <c r="B128" s="6" t="str">
        <f>IF(H128&lt;=12,"有效","无效")</f>
        <v>有效</v>
      </c>
      <c r="C128" s="31" t="s">
        <v>586</v>
      </c>
      <c r="D128" s="32"/>
      <c r="E128" s="32"/>
      <c r="F128" s="32"/>
      <c r="G128" s="33"/>
      <c r="H128" s="4">
        <f>LEN(C128)</f>
        <v>10</v>
      </c>
      <c r="I128" s="11">
        <f>MOD(H128,2)*4+FLOOR(H128/2,1)*6</f>
        <v>30</v>
      </c>
      <c r="J128" s="12">
        <f>I128+I129</f>
        <v>58</v>
      </c>
      <c r="K128" s="20"/>
      <c r="L128" s="13" t="str">
        <f>IF(R128&lt;=12,"有效","无效")</f>
        <v>有效</v>
      </c>
      <c r="M128" s="32" t="s">
        <v>590</v>
      </c>
      <c r="N128" s="32"/>
      <c r="O128" s="32"/>
      <c r="P128" s="32"/>
      <c r="Q128" s="33"/>
      <c r="R128" s="10">
        <f>LEN(M128)</f>
        <v>8</v>
      </c>
      <c r="S128" s="10">
        <f>MOD(R128,2)*4+FLOOR(R128/2,1)*6</f>
        <v>24</v>
      </c>
      <c r="T128" s="12">
        <f>S128+S129</f>
        <v>58</v>
      </c>
    </row>
    <row r="129" spans="1:20" ht="20" customHeight="1">
      <c r="A129" s="22"/>
      <c r="B129" s="6" t="str">
        <f>IF(H129&lt;=12,"有效","无效")</f>
        <v>有效</v>
      </c>
      <c r="C129" s="31" t="s">
        <v>587</v>
      </c>
      <c r="D129" s="32"/>
      <c r="E129" s="32"/>
      <c r="F129" s="32"/>
      <c r="G129" s="33"/>
      <c r="H129" s="4">
        <f>LEN(C129)</f>
        <v>9</v>
      </c>
      <c r="I129" s="11">
        <f>MOD(H129,2)*4+FLOOR(H129/2,1)*6</f>
        <v>28</v>
      </c>
      <c r="J129" s="12" t="str">
        <f>IF(J128&lt;I127,"有效","无效")</f>
        <v>有效</v>
      </c>
      <c r="K129" s="20"/>
      <c r="L129" s="6" t="str">
        <f>IF(R129&lt;=12,"有效","无效")</f>
        <v>有效</v>
      </c>
      <c r="M129" s="31" t="s">
        <v>591</v>
      </c>
      <c r="N129" s="32"/>
      <c r="O129" s="32"/>
      <c r="P129" s="32"/>
      <c r="Q129" s="33"/>
      <c r="R129" s="10">
        <f>LEN(M129)</f>
        <v>11</v>
      </c>
      <c r="S129" s="10">
        <f>MOD(R129,2)*4+FLOOR(R129/2,1)*6</f>
        <v>34</v>
      </c>
      <c r="T129" s="12" t="str">
        <f>IF(T128&lt;I127,"有效","无效")</f>
        <v>有效</v>
      </c>
    </row>
    <row r="130" spans="1:20" ht="20" customHeight="1">
      <c r="A130" s="22"/>
      <c r="B130" s="6" t="str">
        <f>IF(H130&lt;=12,"有效","无效")</f>
        <v>有效</v>
      </c>
      <c r="C130" s="31" t="s">
        <v>588</v>
      </c>
      <c r="D130" s="32"/>
      <c r="E130" s="32"/>
      <c r="F130" s="32"/>
      <c r="G130" s="33"/>
      <c r="H130" s="4">
        <f>LEN(C130)</f>
        <v>8</v>
      </c>
      <c r="I130" s="11">
        <f>MOD(H130,2)*4+FLOOR(H130/2,1)*6</f>
        <v>24</v>
      </c>
      <c r="J130" s="12">
        <f>I130+I131</f>
        <v>42</v>
      </c>
      <c r="K130" s="20"/>
      <c r="L130" s="6" t="str">
        <f>IF(R130&lt;=12,"有效","无效")</f>
        <v>有效</v>
      </c>
      <c r="M130" s="31" t="s">
        <v>592</v>
      </c>
      <c r="N130" s="32"/>
      <c r="O130" s="32"/>
      <c r="P130" s="32"/>
      <c r="Q130" s="33"/>
      <c r="R130" s="10">
        <f>LEN(M130)</f>
        <v>6</v>
      </c>
      <c r="S130" s="10">
        <f>MOD(R130,2)*4+FLOOR(R130/2,1)*6</f>
        <v>18</v>
      </c>
      <c r="T130" s="12">
        <f>S130+S131</f>
        <v>36</v>
      </c>
    </row>
    <row r="131" spans="1:20" ht="20" customHeight="1">
      <c r="A131" s="22"/>
      <c r="B131" s="6" t="str">
        <f>IF(H131&lt;=12,"有效","无效")</f>
        <v>有效</v>
      </c>
      <c r="C131" s="31" t="s">
        <v>589</v>
      </c>
      <c r="D131" s="32"/>
      <c r="E131" s="32"/>
      <c r="F131" s="32"/>
      <c r="G131" s="33"/>
      <c r="H131" s="4">
        <f>LEN(C131)</f>
        <v>6</v>
      </c>
      <c r="I131" s="11">
        <f>MOD(H131,2)*4+FLOOR(H131/2,1)*6</f>
        <v>18</v>
      </c>
      <c r="J131" s="12" t="str">
        <f>IF(J130&lt;I127,"有效","无效")</f>
        <v>有效</v>
      </c>
      <c r="K131" s="20"/>
      <c r="L131" s="6" t="str">
        <f>IF(R131&lt;=12,"有效","无效")</f>
        <v>有效</v>
      </c>
      <c r="M131" s="31" t="s">
        <v>593</v>
      </c>
      <c r="N131" s="32"/>
      <c r="O131" s="32"/>
      <c r="P131" s="32"/>
      <c r="Q131" s="33"/>
      <c r="R131" s="10">
        <f>LEN(M131)</f>
        <v>6</v>
      </c>
      <c r="S131" s="10">
        <f>MOD(R131,2)*4+FLOOR(R131/2,1)*6</f>
        <v>18</v>
      </c>
      <c r="T131" s="12" t="str">
        <f>IF(T130&lt;I127,"有效","无效")</f>
        <v>有效</v>
      </c>
    </row>
    <row r="132" spans="1:20" ht="20" customHeight="1">
      <c r="A132" s="22">
        <v>27</v>
      </c>
      <c r="B132" s="23" t="s">
        <v>45</v>
      </c>
      <c r="C132" s="24" t="s">
        <v>34</v>
      </c>
      <c r="D132" s="14">
        <f>LEN($B132)</f>
        <v>3</v>
      </c>
      <c r="E132" s="14">
        <f>LEN(C132)+3</f>
        <v>4</v>
      </c>
      <c r="F132" s="14">
        <f>MOD(D132,2)*4+FLOOR(D132/2,1)*6</f>
        <v>10</v>
      </c>
      <c r="G132" s="14">
        <f>MOD(E132,2)*4+FLOOR(E132/2,1)*6</f>
        <v>12</v>
      </c>
      <c r="H132" s="14">
        <v>12</v>
      </c>
      <c r="I132" s="14">
        <f>108-H132-G132-F132</f>
        <v>74</v>
      </c>
    </row>
    <row r="133" spans="1:20" ht="20" customHeight="1">
      <c r="A133" s="22"/>
      <c r="B133" s="6" t="str">
        <f>IF(H133&lt;=12,"有效","无效")</f>
        <v>有效</v>
      </c>
      <c r="C133" s="31" t="s">
        <v>594</v>
      </c>
      <c r="D133" s="32"/>
      <c r="E133" s="32"/>
      <c r="F133" s="32"/>
      <c r="G133" s="33"/>
      <c r="H133" s="4">
        <f>LEN(C133)</f>
        <v>8</v>
      </c>
      <c r="I133" s="11">
        <f>MOD(H133,2)*4+FLOOR(H133/2,1)*6</f>
        <v>24</v>
      </c>
      <c r="J133" s="12">
        <f>I133+I134</f>
        <v>36</v>
      </c>
      <c r="K133" s="20"/>
      <c r="L133" s="13" t="str">
        <f>IF(R133&lt;=12,"有效","无效")</f>
        <v>有效</v>
      </c>
      <c r="M133" s="32" t="s">
        <v>598</v>
      </c>
      <c r="N133" s="32"/>
      <c r="O133" s="32"/>
      <c r="P133" s="32"/>
      <c r="Q133" s="33"/>
      <c r="R133" s="10">
        <f>LEN(M133)</f>
        <v>11</v>
      </c>
      <c r="S133" s="10">
        <f>MOD(R133,2)*4+FLOOR(R133/2,1)*6</f>
        <v>34</v>
      </c>
      <c r="T133" s="12">
        <f>S133+S134</f>
        <v>62</v>
      </c>
    </row>
    <row r="134" spans="1:20" ht="20" customHeight="1">
      <c r="A134" s="22"/>
      <c r="B134" s="6" t="str">
        <f>IF(H134&lt;=12,"有效","无效")</f>
        <v>有效</v>
      </c>
      <c r="C134" s="31" t="s">
        <v>595</v>
      </c>
      <c r="D134" s="32"/>
      <c r="E134" s="32"/>
      <c r="F134" s="32"/>
      <c r="G134" s="33"/>
      <c r="H134" s="4">
        <f>LEN(C134)</f>
        <v>4</v>
      </c>
      <c r="I134" s="11">
        <f>MOD(H134,2)*4+FLOOR(H134/2,1)*6</f>
        <v>12</v>
      </c>
      <c r="J134" s="12" t="str">
        <f>IF(J133&lt;I132,"有效","无效")</f>
        <v>有效</v>
      </c>
      <c r="K134" s="20"/>
      <c r="L134" s="6" t="str">
        <f>IF(R134&lt;=12,"有效","无效")</f>
        <v>有效</v>
      </c>
      <c r="M134" s="31" t="s">
        <v>599</v>
      </c>
      <c r="N134" s="32"/>
      <c r="O134" s="32"/>
      <c r="P134" s="32"/>
      <c r="Q134" s="33"/>
      <c r="R134" s="10">
        <f>LEN(M134)</f>
        <v>9</v>
      </c>
      <c r="S134" s="10">
        <f>MOD(R134,2)*4+FLOOR(R134/2,1)*6</f>
        <v>28</v>
      </c>
      <c r="T134" s="12" t="str">
        <f>IF(T133&lt;I132,"有效","无效")</f>
        <v>有效</v>
      </c>
    </row>
    <row r="135" spans="1:20" ht="20" customHeight="1">
      <c r="A135" s="22"/>
      <c r="B135" s="6" t="str">
        <f>IF(H135&lt;=12,"有效","无效")</f>
        <v>有效</v>
      </c>
      <c r="C135" s="31" t="s">
        <v>596</v>
      </c>
      <c r="D135" s="32"/>
      <c r="E135" s="32"/>
      <c r="F135" s="32"/>
      <c r="G135" s="33"/>
      <c r="H135" s="4">
        <f>LEN(C135)</f>
        <v>9</v>
      </c>
      <c r="I135" s="11">
        <f>MOD(H135,2)*4+FLOOR(H135/2,1)*6</f>
        <v>28</v>
      </c>
      <c r="J135" s="12">
        <f>I135+I136</f>
        <v>56</v>
      </c>
      <c r="K135" s="20"/>
      <c r="L135" s="6" t="str">
        <f>IF(R135&lt;=12,"有效","无效")</f>
        <v>有效</v>
      </c>
      <c r="M135" s="31" t="s">
        <v>600</v>
      </c>
      <c r="N135" s="32"/>
      <c r="O135" s="32"/>
      <c r="P135" s="32"/>
      <c r="Q135" s="33"/>
      <c r="R135" s="10">
        <f>LEN(M135)</f>
        <v>6</v>
      </c>
      <c r="S135" s="10">
        <f>MOD(R135,2)*4+FLOOR(R135/2,1)*6</f>
        <v>18</v>
      </c>
      <c r="T135" s="12">
        <f>S135+S136</f>
        <v>34</v>
      </c>
    </row>
    <row r="136" spans="1:20" ht="20" customHeight="1">
      <c r="A136" s="22"/>
      <c r="B136" s="6" t="str">
        <f>IF(H136&lt;=12,"有效","无效")</f>
        <v>有效</v>
      </c>
      <c r="C136" s="31" t="s">
        <v>597</v>
      </c>
      <c r="D136" s="32"/>
      <c r="E136" s="32"/>
      <c r="F136" s="32"/>
      <c r="G136" s="33"/>
      <c r="H136" s="4">
        <f>LEN(C136)</f>
        <v>9</v>
      </c>
      <c r="I136" s="11">
        <f>MOD(H136,2)*4+FLOOR(H136/2,1)*6</f>
        <v>28</v>
      </c>
      <c r="J136" s="12" t="str">
        <f>IF(J135&lt;I132,"有效","无效")</f>
        <v>有效</v>
      </c>
      <c r="K136" s="20"/>
      <c r="L136" s="6" t="str">
        <f>IF(R136&lt;=12,"有效","无效")</f>
        <v>有效</v>
      </c>
      <c r="M136" s="31" t="s">
        <v>601</v>
      </c>
      <c r="N136" s="32"/>
      <c r="O136" s="32"/>
      <c r="P136" s="32"/>
      <c r="Q136" s="33"/>
      <c r="R136" s="10">
        <f>LEN(M136)</f>
        <v>5</v>
      </c>
      <c r="S136" s="10">
        <f>MOD(R136,2)*4+FLOOR(R136/2,1)*6</f>
        <v>16</v>
      </c>
      <c r="T136" s="12" t="str">
        <f>IF(T135&lt;I132,"有效","无效")</f>
        <v>有效</v>
      </c>
    </row>
    <row r="137" spans="1:20" ht="20" customHeight="1">
      <c r="A137" s="22">
        <v>28</v>
      </c>
      <c r="B137" s="23" t="s">
        <v>46</v>
      </c>
      <c r="C137" s="24" t="s">
        <v>34</v>
      </c>
      <c r="D137" s="14">
        <f>LEN($B137)</f>
        <v>3</v>
      </c>
      <c r="E137" s="14">
        <f>LEN(C137)+3</f>
        <v>4</v>
      </c>
      <c r="F137" s="14">
        <f>MOD(D137,2)*4+FLOOR(D137/2,1)*6</f>
        <v>10</v>
      </c>
      <c r="G137" s="14">
        <f>MOD(E137,2)*4+FLOOR(E137/2,1)*6</f>
        <v>12</v>
      </c>
      <c r="H137" s="14">
        <v>12</v>
      </c>
      <c r="I137" s="14">
        <f>108-H137-G137-F137</f>
        <v>74</v>
      </c>
      <c r="J137" s="30"/>
    </row>
    <row r="138" spans="1:20" ht="20" customHeight="1">
      <c r="A138" s="22"/>
      <c r="B138" s="6" t="str">
        <f>IF(H138&lt;=12,"有效","无效")</f>
        <v>有效</v>
      </c>
      <c r="C138" s="34" t="s">
        <v>2075</v>
      </c>
      <c r="D138" s="35"/>
      <c r="E138" s="35"/>
      <c r="F138" s="35"/>
      <c r="G138" s="36"/>
      <c r="H138" s="4">
        <f>LEN(C138)</f>
        <v>4</v>
      </c>
      <c r="I138" s="11">
        <f>MOD(H138,2)*4+FLOOR(H138/2,1)*6</f>
        <v>12</v>
      </c>
      <c r="J138" s="12">
        <f>I138+I139</f>
        <v>30</v>
      </c>
      <c r="K138" s="20"/>
      <c r="L138" s="13" t="str">
        <f>IF(R138&lt;=12,"有效","无效")</f>
        <v>有效</v>
      </c>
      <c r="M138" s="32" t="s">
        <v>602</v>
      </c>
      <c r="N138" s="32"/>
      <c r="O138" s="32"/>
      <c r="P138" s="32"/>
      <c r="Q138" s="33"/>
      <c r="R138" s="10">
        <f>LEN(M138)</f>
        <v>8</v>
      </c>
      <c r="S138" s="10">
        <f>MOD(R138,2)*4+FLOOR(R138/2,1)*6</f>
        <v>24</v>
      </c>
      <c r="T138" s="12">
        <f>S138+S139</f>
        <v>40</v>
      </c>
    </row>
    <row r="139" spans="1:20" ht="20" customHeight="1">
      <c r="A139" s="22"/>
      <c r="B139" s="6" t="str">
        <f>IF(H139&lt;=12,"有效","无效")</f>
        <v>有效</v>
      </c>
      <c r="C139" s="34" t="s">
        <v>2076</v>
      </c>
      <c r="D139" s="35"/>
      <c r="E139" s="35"/>
      <c r="F139" s="35"/>
      <c r="G139" s="36"/>
      <c r="H139" s="4">
        <f>LEN(C139)</f>
        <v>6</v>
      </c>
      <c r="I139" s="11">
        <f>MOD(H139,2)*4+FLOOR(H139/2,1)*6</f>
        <v>18</v>
      </c>
      <c r="J139" s="12" t="str">
        <f>IF(J138&lt;I137,"有效","无效")</f>
        <v>有效</v>
      </c>
      <c r="K139" s="20"/>
      <c r="L139" s="6" t="str">
        <f>IF(R139&lt;=12,"有效","无效")</f>
        <v>有效</v>
      </c>
      <c r="M139" s="31" t="s">
        <v>603</v>
      </c>
      <c r="N139" s="32"/>
      <c r="O139" s="32"/>
      <c r="P139" s="32"/>
      <c r="Q139" s="33"/>
      <c r="R139" s="10">
        <f>LEN(M139)</f>
        <v>5</v>
      </c>
      <c r="S139" s="10">
        <f>MOD(R139,2)*4+FLOOR(R139/2,1)*6</f>
        <v>16</v>
      </c>
      <c r="T139" s="12" t="str">
        <f>IF(T138&lt;I137,"有效","无效")</f>
        <v>有效</v>
      </c>
    </row>
    <row r="140" spans="1:20" ht="20" customHeight="1">
      <c r="A140" s="22"/>
      <c r="B140" s="6" t="str">
        <f>IF(H140&lt;=12,"有效","无效")</f>
        <v>有效</v>
      </c>
      <c r="C140" s="34" t="s">
        <v>606</v>
      </c>
      <c r="D140" s="35"/>
      <c r="E140" s="35"/>
      <c r="F140" s="35"/>
      <c r="G140" s="36"/>
      <c r="H140" s="4">
        <f>LEN(C140)</f>
        <v>7</v>
      </c>
      <c r="I140" s="11">
        <f>MOD(H140,2)*4+FLOOR(H140/2,1)*6</f>
        <v>22</v>
      </c>
      <c r="J140" s="12">
        <f>I140+I141</f>
        <v>52</v>
      </c>
      <c r="K140" s="20"/>
      <c r="L140" s="6" t="str">
        <f>IF(R140&lt;=12,"有效","无效")</f>
        <v>有效</v>
      </c>
      <c r="M140" s="31" t="s">
        <v>604</v>
      </c>
      <c r="N140" s="32"/>
      <c r="O140" s="32"/>
      <c r="P140" s="32"/>
      <c r="Q140" s="33"/>
      <c r="R140" s="10">
        <f>LEN(M140)</f>
        <v>10</v>
      </c>
      <c r="S140" s="10">
        <f>MOD(R140,2)*4+FLOOR(R140/2,1)*6</f>
        <v>30</v>
      </c>
      <c r="T140" s="12">
        <f>S140+S141</f>
        <v>60</v>
      </c>
    </row>
    <row r="141" spans="1:20" ht="20" customHeight="1">
      <c r="A141" s="22"/>
      <c r="B141" s="6" t="str">
        <f>IF(H141&lt;=12,"有效","无效")</f>
        <v>有效</v>
      </c>
      <c r="C141" s="34" t="s">
        <v>2077</v>
      </c>
      <c r="D141" s="35"/>
      <c r="E141" s="35"/>
      <c r="F141" s="35"/>
      <c r="G141" s="36"/>
      <c r="H141" s="4">
        <f>LEN(C141)</f>
        <v>10</v>
      </c>
      <c r="I141" s="11">
        <f>MOD(H141,2)*4+FLOOR(H141/2,1)*6</f>
        <v>30</v>
      </c>
      <c r="J141" s="12" t="str">
        <f>IF(J140&lt;I137,"有效","无效")</f>
        <v>有效</v>
      </c>
      <c r="K141" s="20"/>
      <c r="L141" s="6" t="str">
        <f>IF(R141&lt;=12,"有效","无效")</f>
        <v>有效</v>
      </c>
      <c r="M141" s="31" t="s">
        <v>605</v>
      </c>
      <c r="N141" s="32"/>
      <c r="O141" s="32"/>
      <c r="P141" s="32"/>
      <c r="Q141" s="33"/>
      <c r="R141" s="10">
        <f>LEN(M141)</f>
        <v>10</v>
      </c>
      <c r="S141" s="10">
        <f>MOD(R141,2)*4+FLOOR(R141/2,1)*6</f>
        <v>30</v>
      </c>
      <c r="T141" s="12" t="str">
        <f>IF(T140&lt;I137,"有效","无效")</f>
        <v>有效</v>
      </c>
    </row>
    <row r="142" spans="1:20" ht="20" customHeight="1">
      <c r="A142" s="22">
        <v>29</v>
      </c>
      <c r="B142" s="23" t="s">
        <v>47</v>
      </c>
      <c r="C142" s="24" t="s">
        <v>48</v>
      </c>
      <c r="D142" s="14">
        <f>LEN($B142)</f>
        <v>3</v>
      </c>
      <c r="E142" s="14">
        <f>LEN(C142)+3</f>
        <v>5</v>
      </c>
      <c r="F142" s="14">
        <f>MOD(D142,2)*4+FLOOR(D142/2,1)*6</f>
        <v>10</v>
      </c>
      <c r="G142" s="14">
        <f>MOD(E142,2)*4+FLOOR(E142/2,1)*6</f>
        <v>16</v>
      </c>
      <c r="H142" s="14">
        <v>12</v>
      </c>
      <c r="I142" s="14">
        <f>108-H142-G142-F142</f>
        <v>70</v>
      </c>
    </row>
    <row r="143" spans="1:20" ht="20" customHeight="1">
      <c r="A143" s="22"/>
      <c r="B143" s="6" t="str">
        <f>IF(H143&lt;=12,"有效","无效")</f>
        <v>有效</v>
      </c>
      <c r="C143" s="34" t="s">
        <v>613</v>
      </c>
      <c r="D143" s="35"/>
      <c r="E143" s="35"/>
      <c r="F143" s="35"/>
      <c r="G143" s="36"/>
      <c r="H143" s="4">
        <f>LEN(C143)</f>
        <v>9</v>
      </c>
      <c r="I143" s="11">
        <f>MOD(H143,2)*4+FLOOR(H143/2,1)*6</f>
        <v>28</v>
      </c>
      <c r="J143" s="12">
        <f>I143+I144</f>
        <v>52</v>
      </c>
      <c r="K143" s="20"/>
      <c r="L143" s="13" t="str">
        <f>IF(R143&lt;=12,"有效","无效")</f>
        <v>有效</v>
      </c>
      <c r="M143" s="35" t="s">
        <v>610</v>
      </c>
      <c r="N143" s="35"/>
      <c r="O143" s="35"/>
      <c r="P143" s="35"/>
      <c r="Q143" s="36"/>
      <c r="R143" s="10">
        <f>LEN(M143)</f>
        <v>9</v>
      </c>
      <c r="S143" s="10">
        <f>MOD(R143,2)*4+FLOOR(R143/2,1)*6</f>
        <v>28</v>
      </c>
      <c r="T143" s="12">
        <f>S143+S144</f>
        <v>52</v>
      </c>
    </row>
    <row r="144" spans="1:20" ht="20" customHeight="1">
      <c r="A144" s="22"/>
      <c r="B144" s="6" t="str">
        <f>IF(H144&lt;=12,"有效","无效")</f>
        <v>有效</v>
      </c>
      <c r="C144" s="34" t="s">
        <v>607</v>
      </c>
      <c r="D144" s="35"/>
      <c r="E144" s="35"/>
      <c r="F144" s="35"/>
      <c r="G144" s="36"/>
      <c r="H144" s="4">
        <f>LEN(C144)</f>
        <v>8</v>
      </c>
      <c r="I144" s="11">
        <f>MOD(H144,2)*4+FLOOR(H144/2,1)*6</f>
        <v>24</v>
      </c>
      <c r="J144" s="12" t="str">
        <f>IF(J143&lt;I142,"有效","无效")</f>
        <v>有效</v>
      </c>
      <c r="K144" s="20"/>
      <c r="L144" s="6" t="str">
        <f>IF(R144&lt;=12,"有效","无效")</f>
        <v>有效</v>
      </c>
      <c r="M144" s="34" t="s">
        <v>611</v>
      </c>
      <c r="N144" s="35"/>
      <c r="O144" s="35"/>
      <c r="P144" s="35"/>
      <c r="Q144" s="36"/>
      <c r="R144" s="10">
        <f>LEN(M144)</f>
        <v>8</v>
      </c>
      <c r="S144" s="10">
        <f>MOD(R144,2)*4+FLOOR(R144/2,1)*6</f>
        <v>24</v>
      </c>
      <c r="T144" s="12" t="str">
        <f>IF(T143&lt;I142,"有效","无效")</f>
        <v>有效</v>
      </c>
    </row>
    <row r="145" spans="1:20" ht="20" customHeight="1">
      <c r="A145" s="22"/>
      <c r="B145" s="6" t="str">
        <f>IF(H145&lt;=12,"有效","无效")</f>
        <v>有效</v>
      </c>
      <c r="C145" s="34" t="s">
        <v>608</v>
      </c>
      <c r="D145" s="35"/>
      <c r="E145" s="35"/>
      <c r="F145" s="35"/>
      <c r="G145" s="36"/>
      <c r="H145" s="4">
        <f>LEN(C145)</f>
        <v>8</v>
      </c>
      <c r="I145" s="11">
        <f>MOD(H145,2)*4+FLOOR(H145/2,1)*6</f>
        <v>24</v>
      </c>
      <c r="J145" s="12">
        <f>I145+I146</f>
        <v>40</v>
      </c>
      <c r="K145" s="20"/>
      <c r="L145" s="6" t="str">
        <f>IF(R145&lt;=12,"有效","无效")</f>
        <v>有效</v>
      </c>
      <c r="M145" s="34" t="s">
        <v>614</v>
      </c>
      <c r="N145" s="35"/>
      <c r="O145" s="35"/>
      <c r="P145" s="35"/>
      <c r="Q145" s="36"/>
      <c r="R145" s="10">
        <f>LEN(M145)</f>
        <v>7</v>
      </c>
      <c r="S145" s="10">
        <f>MOD(R145,2)*4+FLOOR(R145/2,1)*6</f>
        <v>22</v>
      </c>
      <c r="T145" s="12">
        <f>S145+S146</f>
        <v>40</v>
      </c>
    </row>
    <row r="146" spans="1:20" ht="20" customHeight="1">
      <c r="A146" s="22"/>
      <c r="B146" s="6" t="str">
        <f>IF(H146&lt;=12,"有效","无效")</f>
        <v>有效</v>
      </c>
      <c r="C146" s="34" t="s">
        <v>609</v>
      </c>
      <c r="D146" s="35"/>
      <c r="E146" s="35"/>
      <c r="F146" s="35"/>
      <c r="G146" s="36"/>
      <c r="H146" s="4">
        <f>LEN(C146)</f>
        <v>5</v>
      </c>
      <c r="I146" s="11">
        <f>MOD(H146,2)*4+FLOOR(H146/2,1)*6</f>
        <v>16</v>
      </c>
      <c r="J146" s="12" t="str">
        <f>IF(J145&lt;I142,"有效","无效")</f>
        <v>有效</v>
      </c>
      <c r="K146" s="20"/>
      <c r="L146" s="6" t="str">
        <f>IF(R146&lt;=12,"有效","无效")</f>
        <v>有效</v>
      </c>
      <c r="M146" s="42" t="s">
        <v>612</v>
      </c>
      <c r="N146" s="35"/>
      <c r="O146" s="35"/>
      <c r="P146" s="35"/>
      <c r="Q146" s="36"/>
      <c r="R146" s="10">
        <f>LEN(M146)</f>
        <v>6</v>
      </c>
      <c r="S146" s="10">
        <f>MOD(R146,2)*4+FLOOR(R146/2,1)*6</f>
        <v>18</v>
      </c>
      <c r="T146" s="12" t="str">
        <f>IF(T145&lt;I142,"有效","无效")</f>
        <v>有效</v>
      </c>
    </row>
    <row r="147" spans="1:20" ht="20" customHeight="1">
      <c r="A147" s="22">
        <v>30</v>
      </c>
      <c r="B147" s="23" t="s">
        <v>49</v>
      </c>
      <c r="C147" s="24" t="s">
        <v>48</v>
      </c>
      <c r="D147" s="14">
        <f>LEN($B147)</f>
        <v>3</v>
      </c>
      <c r="E147" s="14">
        <f>LEN(C147)+3</f>
        <v>5</v>
      </c>
      <c r="F147" s="14">
        <f>MOD(D147,2)*4+FLOOR(D147/2,1)*6</f>
        <v>10</v>
      </c>
      <c r="G147" s="14">
        <f>MOD(E147,2)*4+FLOOR(E147/2,1)*6</f>
        <v>16</v>
      </c>
      <c r="H147" s="14">
        <v>12</v>
      </c>
      <c r="I147" s="14">
        <f>108-H147-G147-F147</f>
        <v>70</v>
      </c>
      <c r="J147" s="30"/>
    </row>
    <row r="148" spans="1:20" ht="20" customHeight="1">
      <c r="A148" s="22"/>
      <c r="B148" s="6" t="str">
        <f>IF(H148&lt;=12,"有效","无效")</f>
        <v>有效</v>
      </c>
      <c r="C148" s="31" t="s">
        <v>2079</v>
      </c>
      <c r="D148" s="32"/>
      <c r="E148" s="32"/>
      <c r="F148" s="32"/>
      <c r="G148" s="33"/>
      <c r="H148" s="4">
        <f>LEN(C148)</f>
        <v>4</v>
      </c>
      <c r="I148" s="11">
        <f>MOD(H148,2)*4+FLOOR(H148/2,1)*6</f>
        <v>12</v>
      </c>
      <c r="J148" s="12">
        <f>I148+I149</f>
        <v>24</v>
      </c>
      <c r="K148" s="20"/>
      <c r="L148" s="13" t="str">
        <f>IF(R148&lt;=12,"有效","无效")</f>
        <v>有效</v>
      </c>
      <c r="M148" s="35" t="s">
        <v>643</v>
      </c>
      <c r="N148" s="35"/>
      <c r="O148" s="35"/>
      <c r="P148" s="35"/>
      <c r="Q148" s="36"/>
      <c r="R148" s="10">
        <f>LEN(M148)</f>
        <v>8</v>
      </c>
      <c r="S148" s="10">
        <f>MOD(R148,2)*4+FLOOR(R148/2,1)*6</f>
        <v>24</v>
      </c>
      <c r="T148" s="12">
        <f>S148+S149</f>
        <v>48</v>
      </c>
    </row>
    <row r="149" spans="1:20" ht="20" customHeight="1">
      <c r="A149" s="22"/>
      <c r="B149" s="6" t="str">
        <f>IF(H149&lt;=12,"有效","无效")</f>
        <v>有效</v>
      </c>
      <c r="C149" s="31" t="s">
        <v>2080</v>
      </c>
      <c r="D149" s="32"/>
      <c r="E149" s="32"/>
      <c r="F149" s="32"/>
      <c r="G149" s="33"/>
      <c r="H149" s="4">
        <f>LEN(C149)</f>
        <v>4</v>
      </c>
      <c r="I149" s="11">
        <f>MOD(H149,2)*4+FLOOR(H149/2,1)*6</f>
        <v>12</v>
      </c>
      <c r="J149" s="12" t="str">
        <f>IF(J148&lt;I147,"有效","无效")</f>
        <v>有效</v>
      </c>
      <c r="K149" s="20"/>
      <c r="L149" s="6" t="str">
        <f>IF(R149&lt;=12,"有效","无效")</f>
        <v>有效</v>
      </c>
      <c r="M149" s="34" t="s">
        <v>616</v>
      </c>
      <c r="N149" s="35"/>
      <c r="O149" s="35"/>
      <c r="P149" s="35"/>
      <c r="Q149" s="36"/>
      <c r="R149" s="10">
        <f>LEN(M149)</f>
        <v>8</v>
      </c>
      <c r="S149" s="10">
        <f>MOD(R149,2)*4+FLOOR(R149/2,1)*6</f>
        <v>24</v>
      </c>
      <c r="T149" s="12" t="str">
        <f>IF(T148&lt;I147,"有效","无效")</f>
        <v>有效</v>
      </c>
    </row>
    <row r="150" spans="1:20" ht="20" customHeight="1">
      <c r="A150" s="22"/>
      <c r="B150" s="6" t="str">
        <f>IF(H150&lt;=12,"有效","无效")</f>
        <v>有效</v>
      </c>
      <c r="C150" s="31" t="s">
        <v>2078</v>
      </c>
      <c r="D150" s="32"/>
      <c r="E150" s="32"/>
      <c r="F150" s="32"/>
      <c r="G150" s="33"/>
      <c r="H150" s="4">
        <f>LEN(C150)</f>
        <v>12</v>
      </c>
      <c r="I150" s="11">
        <f>MOD(H150,2)*4+FLOOR(H150/2,1)*6</f>
        <v>36</v>
      </c>
      <c r="J150" s="12">
        <f>I150+I151</f>
        <v>66</v>
      </c>
      <c r="K150" s="20"/>
      <c r="L150" s="6" t="str">
        <f>IF(R150&lt;=12,"有效","无效")</f>
        <v>有效</v>
      </c>
      <c r="M150" s="34" t="s">
        <v>617</v>
      </c>
      <c r="N150" s="35"/>
      <c r="O150" s="35"/>
      <c r="P150" s="35"/>
      <c r="Q150" s="36"/>
      <c r="R150" s="10">
        <f>LEN(M150)</f>
        <v>6</v>
      </c>
      <c r="S150" s="10">
        <f>MOD(R150,2)*4+FLOOR(R150/2,1)*6</f>
        <v>18</v>
      </c>
      <c r="T150" s="12">
        <f>S150+S151</f>
        <v>34</v>
      </c>
    </row>
    <row r="151" spans="1:20" ht="20" customHeight="1">
      <c r="A151" s="22"/>
      <c r="B151" s="6" t="str">
        <f>IF(H151&lt;=12,"有效","无效")</f>
        <v>有效</v>
      </c>
      <c r="C151" s="31" t="s">
        <v>615</v>
      </c>
      <c r="D151" s="32"/>
      <c r="E151" s="32"/>
      <c r="F151" s="32"/>
      <c r="G151" s="33"/>
      <c r="H151" s="4">
        <f>LEN(C151)</f>
        <v>10</v>
      </c>
      <c r="I151" s="11">
        <f>MOD(H151,2)*4+FLOOR(H151/2,1)*6</f>
        <v>30</v>
      </c>
      <c r="J151" s="12" t="str">
        <f>IF(J150&lt;I147,"有效","无效")</f>
        <v>有效</v>
      </c>
      <c r="K151" s="20"/>
      <c r="L151" s="6" t="str">
        <f>IF(R151&lt;=12,"有效","无效")</f>
        <v>有效</v>
      </c>
      <c r="M151" s="34" t="s">
        <v>2268</v>
      </c>
      <c r="N151" s="35"/>
      <c r="O151" s="35"/>
      <c r="P151" s="35"/>
      <c r="Q151" s="36"/>
      <c r="R151" s="10">
        <f>LEN(M151)</f>
        <v>5</v>
      </c>
      <c r="S151" s="10">
        <f>MOD(R151,2)*4+FLOOR(R151/2,1)*6</f>
        <v>16</v>
      </c>
      <c r="T151" s="12" t="str">
        <f>IF(T150&lt;I147,"有效","无效")</f>
        <v>有效</v>
      </c>
    </row>
    <row r="152" spans="1:20" ht="20" customHeight="1">
      <c r="A152" s="22">
        <v>31</v>
      </c>
      <c r="B152" s="23" t="s">
        <v>50</v>
      </c>
      <c r="C152" s="24" t="s">
        <v>51</v>
      </c>
      <c r="D152" s="14">
        <f>LEN($B152)</f>
        <v>3</v>
      </c>
      <c r="E152" s="14">
        <f>LEN(C152)+3</f>
        <v>5</v>
      </c>
      <c r="F152" s="14">
        <f>MOD(D152,2)*4+FLOOR(D152/2,1)*6</f>
        <v>10</v>
      </c>
      <c r="G152" s="14">
        <f>MOD(E152,2)*4+FLOOR(E152/2,1)*6</f>
        <v>16</v>
      </c>
      <c r="H152" s="14">
        <v>12</v>
      </c>
      <c r="I152" s="14">
        <f>108-H152-G152-F152</f>
        <v>70</v>
      </c>
    </row>
    <row r="153" spans="1:20" ht="20" customHeight="1">
      <c r="A153" s="22"/>
      <c r="B153" s="6" t="str">
        <f>IF(H153&lt;=12,"有效","无效")</f>
        <v>有效</v>
      </c>
      <c r="C153" s="34" t="s">
        <v>622</v>
      </c>
      <c r="D153" s="35"/>
      <c r="E153" s="35"/>
      <c r="F153" s="35"/>
      <c r="G153" s="36"/>
      <c r="H153" s="4">
        <f>LEN(C153)</f>
        <v>5</v>
      </c>
      <c r="I153" s="11">
        <f>MOD(H153,2)*4+FLOOR(H153/2,1)*6</f>
        <v>16</v>
      </c>
      <c r="J153" s="12">
        <f>I153+I154</f>
        <v>38</v>
      </c>
      <c r="K153" s="20"/>
      <c r="L153" s="13" t="str">
        <f>IF(R153&lt;=12,"有效","无效")</f>
        <v>有效</v>
      </c>
      <c r="M153" s="32" t="s">
        <v>621</v>
      </c>
      <c r="N153" s="32"/>
      <c r="O153" s="32"/>
      <c r="P153" s="32"/>
      <c r="Q153" s="33"/>
      <c r="R153" s="10">
        <f>LEN(M153)</f>
        <v>11</v>
      </c>
      <c r="S153" s="10">
        <f>MOD(R153,2)*4+FLOOR(R153/2,1)*6</f>
        <v>34</v>
      </c>
      <c r="T153" s="12">
        <f>S153+S154</f>
        <v>58</v>
      </c>
    </row>
    <row r="154" spans="1:20" ht="20" customHeight="1">
      <c r="A154" s="22"/>
      <c r="B154" s="6" t="str">
        <f>IF(H154&lt;=12,"有效","无效")</f>
        <v>有效</v>
      </c>
      <c r="C154" s="34" t="s">
        <v>623</v>
      </c>
      <c r="D154" s="35"/>
      <c r="E154" s="35"/>
      <c r="F154" s="35"/>
      <c r="G154" s="36"/>
      <c r="H154" s="4">
        <f>LEN(C154)</f>
        <v>7</v>
      </c>
      <c r="I154" s="11">
        <f>MOD(H154,2)*4+FLOOR(H154/2,1)*6</f>
        <v>22</v>
      </c>
      <c r="J154" s="12" t="str">
        <f>IF(J153&lt;I152,"有效","无效")</f>
        <v>有效</v>
      </c>
      <c r="K154" s="20"/>
      <c r="L154" s="6" t="str">
        <f>IF(R154&lt;=12,"有效","无效")</f>
        <v>有效</v>
      </c>
      <c r="M154" s="31" t="s">
        <v>620</v>
      </c>
      <c r="N154" s="32"/>
      <c r="O154" s="32"/>
      <c r="P154" s="32"/>
      <c r="Q154" s="33"/>
      <c r="R154" s="10">
        <f>LEN(M154)</f>
        <v>8</v>
      </c>
      <c r="S154" s="10">
        <f>MOD(R154,2)*4+FLOOR(R154/2,1)*6</f>
        <v>24</v>
      </c>
      <c r="T154" s="12" t="str">
        <f>IF(T153&lt;I152,"有效","无效")</f>
        <v>有效</v>
      </c>
    </row>
    <row r="155" spans="1:20" ht="20" customHeight="1">
      <c r="A155" s="22"/>
      <c r="B155" s="6" t="str">
        <f>IF(H155&lt;=12,"有效","无效")</f>
        <v>有效</v>
      </c>
      <c r="C155" s="34" t="s">
        <v>624</v>
      </c>
      <c r="D155" s="35"/>
      <c r="E155" s="35"/>
      <c r="F155" s="35"/>
      <c r="G155" s="36"/>
      <c r="H155" s="4">
        <f>LEN(C155)</f>
        <v>9</v>
      </c>
      <c r="I155" s="11">
        <f>MOD(H155,2)*4+FLOOR(H155/2,1)*6</f>
        <v>28</v>
      </c>
      <c r="J155" s="12">
        <f>I155+I156</f>
        <v>62</v>
      </c>
      <c r="K155" s="20"/>
      <c r="L155" s="6" t="str">
        <f>IF(R155&lt;=12,"有效","无效")</f>
        <v>有效</v>
      </c>
      <c r="M155" s="31" t="s">
        <v>618</v>
      </c>
      <c r="N155" s="32"/>
      <c r="O155" s="32"/>
      <c r="P155" s="32"/>
      <c r="Q155" s="33"/>
      <c r="R155" s="10">
        <f>LEN(M155)</f>
        <v>4</v>
      </c>
      <c r="S155" s="10">
        <f>MOD(R155,2)*4+FLOOR(R155/2,1)*6</f>
        <v>12</v>
      </c>
      <c r="T155" s="12">
        <f>S155+S156</f>
        <v>34</v>
      </c>
    </row>
    <row r="156" spans="1:20" ht="20" customHeight="1">
      <c r="A156" s="22"/>
      <c r="B156" s="6" t="str">
        <f>IF(H156&lt;=12,"有效","无效")</f>
        <v>有效</v>
      </c>
      <c r="C156" s="34" t="s">
        <v>625</v>
      </c>
      <c r="D156" s="35"/>
      <c r="E156" s="35"/>
      <c r="F156" s="35"/>
      <c r="G156" s="36"/>
      <c r="H156" s="4">
        <f>LEN(C156)</f>
        <v>11</v>
      </c>
      <c r="I156" s="11">
        <f>MOD(H156,2)*4+FLOOR(H156/2,1)*6</f>
        <v>34</v>
      </c>
      <c r="J156" s="12" t="str">
        <f>IF(J155&lt;I152,"有效","无效")</f>
        <v>有效</v>
      </c>
      <c r="K156" s="20"/>
      <c r="L156" s="6" t="str">
        <f>IF(R156&lt;=12,"有效","无效")</f>
        <v>有效</v>
      </c>
      <c r="M156" s="31" t="s">
        <v>619</v>
      </c>
      <c r="N156" s="32"/>
      <c r="O156" s="32"/>
      <c r="P156" s="32"/>
      <c r="Q156" s="33"/>
      <c r="R156" s="10">
        <f>LEN(M156)</f>
        <v>7</v>
      </c>
      <c r="S156" s="10">
        <f>MOD(R156,2)*4+FLOOR(R156/2,1)*6</f>
        <v>22</v>
      </c>
      <c r="T156" s="12" t="str">
        <f>IF(T155&lt;I152,"有效","无效")</f>
        <v>有效</v>
      </c>
    </row>
    <row r="157" spans="1:20" ht="20" customHeight="1">
      <c r="A157" s="22">
        <v>32</v>
      </c>
      <c r="B157" s="23" t="s">
        <v>633</v>
      </c>
      <c r="C157" s="24" t="s">
        <v>48</v>
      </c>
      <c r="D157" s="14">
        <f>LEN($B157)</f>
        <v>3</v>
      </c>
      <c r="E157" s="14">
        <f>LEN(C157)+3</f>
        <v>5</v>
      </c>
      <c r="F157" s="14">
        <f>MOD(D157,2)*4+FLOOR(D157/2,1)*6</f>
        <v>10</v>
      </c>
      <c r="G157" s="14">
        <f>MOD(E157,2)*4+FLOOR(E157/2,1)*6</f>
        <v>16</v>
      </c>
      <c r="H157" s="14">
        <v>12</v>
      </c>
      <c r="I157" s="14">
        <f>108-H157-G157-F157</f>
        <v>70</v>
      </c>
    </row>
    <row r="158" spans="1:20" ht="20" customHeight="1">
      <c r="A158" s="22"/>
      <c r="B158" s="6" t="str">
        <f>IF(H158&lt;=12,"有效","无效")</f>
        <v>有效</v>
      </c>
      <c r="C158" s="34" t="s">
        <v>626</v>
      </c>
      <c r="D158" s="35"/>
      <c r="E158" s="35"/>
      <c r="F158" s="35"/>
      <c r="G158" s="36"/>
      <c r="H158" s="4">
        <f>LEN(C158)</f>
        <v>4</v>
      </c>
      <c r="I158" s="11">
        <f>MOD(H158,2)*4+FLOOR(H158/2,1)*6</f>
        <v>12</v>
      </c>
      <c r="J158" s="12">
        <f>I158+I159</f>
        <v>40</v>
      </c>
      <c r="K158" s="20"/>
      <c r="L158" s="13" t="str">
        <f>IF(R158&lt;=12,"有效","无效")</f>
        <v>有效</v>
      </c>
      <c r="M158" s="35" t="s">
        <v>629</v>
      </c>
      <c r="N158" s="35"/>
      <c r="O158" s="35"/>
      <c r="P158" s="35"/>
      <c r="Q158" s="36"/>
      <c r="R158" s="10">
        <f>LEN(M158)</f>
        <v>6</v>
      </c>
      <c r="S158" s="10">
        <f>MOD(R158,2)*4+FLOOR(R158/2,1)*6</f>
        <v>18</v>
      </c>
      <c r="T158" s="12">
        <f>S158+S159</f>
        <v>36</v>
      </c>
    </row>
    <row r="159" spans="1:20" ht="20" customHeight="1">
      <c r="A159" s="22"/>
      <c r="B159" s="6" t="str">
        <f>IF(H159&lt;=12,"有效","无效")</f>
        <v>有效</v>
      </c>
      <c r="C159" s="34" t="s">
        <v>627</v>
      </c>
      <c r="D159" s="35"/>
      <c r="E159" s="35"/>
      <c r="F159" s="35"/>
      <c r="G159" s="36"/>
      <c r="H159" s="4">
        <f>LEN(C159)</f>
        <v>9</v>
      </c>
      <c r="I159" s="11">
        <f>MOD(H159,2)*4+FLOOR(H159/2,1)*6</f>
        <v>28</v>
      </c>
      <c r="J159" s="12" t="str">
        <f>IF(J158&lt;I157,"有效","无效")</f>
        <v>有效</v>
      </c>
      <c r="K159" s="20"/>
      <c r="L159" s="6" t="str">
        <f>IF(R159&lt;=12,"有效","无效")</f>
        <v>有效</v>
      </c>
      <c r="M159" s="34" t="s">
        <v>630</v>
      </c>
      <c r="N159" s="35"/>
      <c r="O159" s="35"/>
      <c r="P159" s="35"/>
      <c r="Q159" s="36"/>
      <c r="R159" s="10">
        <f>LEN(M159)</f>
        <v>6</v>
      </c>
      <c r="S159" s="10">
        <f>MOD(R159,2)*4+FLOOR(R159/2,1)*6</f>
        <v>18</v>
      </c>
      <c r="T159" s="12" t="str">
        <f>IF(T158&lt;I157,"有效","无效")</f>
        <v>有效</v>
      </c>
    </row>
    <row r="160" spans="1:20" ht="20" customHeight="1">
      <c r="A160" s="22"/>
      <c r="B160" s="6" t="str">
        <f>IF(H160&lt;=12,"有效","无效")</f>
        <v>有效</v>
      </c>
      <c r="C160" s="34" t="s">
        <v>644</v>
      </c>
      <c r="D160" s="35"/>
      <c r="E160" s="35"/>
      <c r="F160" s="35"/>
      <c r="G160" s="36"/>
      <c r="H160" s="4">
        <f>LEN(C160)</f>
        <v>9</v>
      </c>
      <c r="I160" s="11">
        <f>MOD(H160,2)*4+FLOOR(H160/2,1)*6</f>
        <v>28</v>
      </c>
      <c r="J160" s="12">
        <f>I160+I161</f>
        <v>52</v>
      </c>
      <c r="K160" s="20"/>
      <c r="L160" s="6" t="str">
        <f>IF(R160&lt;=12,"有效","无效")</f>
        <v>有效</v>
      </c>
      <c r="M160" s="34" t="s">
        <v>631</v>
      </c>
      <c r="N160" s="35"/>
      <c r="O160" s="35"/>
      <c r="P160" s="35"/>
      <c r="Q160" s="36"/>
      <c r="R160" s="10">
        <f>LEN(M160)</f>
        <v>7</v>
      </c>
      <c r="S160" s="10">
        <f>MOD(R160,2)*4+FLOOR(R160/2,1)*6</f>
        <v>22</v>
      </c>
      <c r="T160" s="12">
        <f>S160+S161</f>
        <v>50</v>
      </c>
    </row>
    <row r="161" spans="1:20" ht="20" customHeight="1">
      <c r="A161" s="22"/>
      <c r="B161" s="6" t="str">
        <f>IF(H161&lt;=12,"有效","无效")</f>
        <v>有效</v>
      </c>
      <c r="C161" s="34" t="s">
        <v>628</v>
      </c>
      <c r="D161" s="35"/>
      <c r="E161" s="35"/>
      <c r="F161" s="35"/>
      <c r="G161" s="36"/>
      <c r="H161" s="4">
        <f>LEN(C161)</f>
        <v>8</v>
      </c>
      <c r="I161" s="11">
        <f>MOD(H161,2)*4+FLOOR(H161/2,1)*6</f>
        <v>24</v>
      </c>
      <c r="J161" s="12" t="str">
        <f>IF(J160&lt;I157,"有效","无效")</f>
        <v>有效</v>
      </c>
      <c r="K161" s="20"/>
      <c r="L161" s="6" t="str">
        <f>IF(R161&lt;=12,"有效","无效")</f>
        <v>有效</v>
      </c>
      <c r="M161" s="34" t="s">
        <v>632</v>
      </c>
      <c r="N161" s="35"/>
      <c r="O161" s="35"/>
      <c r="P161" s="35"/>
      <c r="Q161" s="36"/>
      <c r="R161" s="10">
        <f>LEN(M161)</f>
        <v>9</v>
      </c>
      <c r="S161" s="10">
        <f>MOD(R161,2)*4+FLOOR(R161/2,1)*6</f>
        <v>28</v>
      </c>
      <c r="T161" s="12" t="str">
        <f>IF(T160&lt;I157,"有效","无效")</f>
        <v>有效</v>
      </c>
    </row>
    <row r="162" spans="1:20" ht="20" customHeight="1">
      <c r="A162" s="22">
        <v>33</v>
      </c>
      <c r="B162" s="23" t="s">
        <v>634</v>
      </c>
      <c r="C162" s="24" t="s">
        <v>48</v>
      </c>
      <c r="D162" s="14">
        <f>LEN($B162)</f>
        <v>4</v>
      </c>
      <c r="E162" s="14">
        <f>LEN(C162)+3</f>
        <v>5</v>
      </c>
      <c r="F162" s="14">
        <f>MOD(D162,2)*4+FLOOR(D162/2,1)*6</f>
        <v>12</v>
      </c>
      <c r="G162" s="14">
        <f>MOD(E162,2)*4+FLOOR(E162/2,1)*6</f>
        <v>16</v>
      </c>
      <c r="H162" s="14">
        <v>12</v>
      </c>
      <c r="I162" s="14">
        <f>108-H162-G162-F162</f>
        <v>68</v>
      </c>
    </row>
    <row r="163" spans="1:20" ht="20" customHeight="1">
      <c r="A163" s="22"/>
      <c r="B163" s="6" t="str">
        <f>IF(H163&lt;=12,"有效","无效")</f>
        <v>有效</v>
      </c>
      <c r="C163" s="31" t="s">
        <v>635</v>
      </c>
      <c r="D163" s="32"/>
      <c r="E163" s="32"/>
      <c r="F163" s="32"/>
      <c r="G163" s="33"/>
      <c r="H163" s="4">
        <f>LEN(C163)</f>
        <v>8</v>
      </c>
      <c r="I163" s="11">
        <f>MOD(H163,2)*4+FLOOR(H163/2,1)*6</f>
        <v>24</v>
      </c>
      <c r="J163" s="12">
        <f>I163+I164</f>
        <v>48</v>
      </c>
      <c r="K163" s="20"/>
      <c r="L163" s="13" t="str">
        <f>IF(R163&lt;=12,"有效","无效")</f>
        <v>有效</v>
      </c>
      <c r="M163" s="35" t="s">
        <v>639</v>
      </c>
      <c r="N163" s="35"/>
      <c r="O163" s="35"/>
      <c r="P163" s="35"/>
      <c r="Q163" s="36"/>
      <c r="R163" s="10">
        <f>LEN(M163)</f>
        <v>5</v>
      </c>
      <c r="S163" s="10">
        <f>MOD(R163,2)*4+FLOOR(R163/2,1)*6</f>
        <v>16</v>
      </c>
      <c r="T163" s="12">
        <f>S163+S164</f>
        <v>34</v>
      </c>
    </row>
    <row r="164" spans="1:20" ht="20" customHeight="1">
      <c r="A164" s="22"/>
      <c r="B164" s="6" t="str">
        <f>IF(H164&lt;=12,"有效","无效")</f>
        <v>有效</v>
      </c>
      <c r="C164" s="31" t="s">
        <v>636</v>
      </c>
      <c r="D164" s="32"/>
      <c r="E164" s="32"/>
      <c r="F164" s="32"/>
      <c r="G164" s="33"/>
      <c r="H164" s="4">
        <f>LEN(C164)</f>
        <v>8</v>
      </c>
      <c r="I164" s="11">
        <f>MOD(H164,2)*4+FLOOR(H164/2,1)*6</f>
        <v>24</v>
      </c>
      <c r="J164" s="12" t="str">
        <f>IF(J163&lt;I162,"有效","无效")</f>
        <v>有效</v>
      </c>
      <c r="K164" s="20"/>
      <c r="L164" s="6" t="str">
        <f>IF(R164&lt;=12,"有效","无效")</f>
        <v>有效</v>
      </c>
      <c r="M164" s="34" t="s">
        <v>640</v>
      </c>
      <c r="N164" s="35"/>
      <c r="O164" s="35"/>
      <c r="P164" s="35"/>
      <c r="Q164" s="36"/>
      <c r="R164" s="10">
        <f>LEN(M164)</f>
        <v>6</v>
      </c>
      <c r="S164" s="10">
        <f>MOD(R164,2)*4+FLOOR(R164/2,1)*6</f>
        <v>18</v>
      </c>
      <c r="T164" s="12" t="str">
        <f>IF(T163&lt;I162,"有效","无效")</f>
        <v>有效</v>
      </c>
    </row>
    <row r="165" spans="1:20" ht="20" customHeight="1">
      <c r="A165" s="22"/>
      <c r="B165" s="6" t="str">
        <f>IF(H165&lt;=12,"有效","无效")</f>
        <v>有效</v>
      </c>
      <c r="C165" s="31" t="s">
        <v>637</v>
      </c>
      <c r="D165" s="32"/>
      <c r="E165" s="32"/>
      <c r="F165" s="32"/>
      <c r="G165" s="33"/>
      <c r="H165" s="4">
        <f>LEN(C165)</f>
        <v>6</v>
      </c>
      <c r="I165" s="11">
        <f>MOD(H165,2)*4+FLOOR(H165/2,1)*6</f>
        <v>18</v>
      </c>
      <c r="J165" s="12">
        <f>I165+I166</f>
        <v>42</v>
      </c>
      <c r="K165" s="20"/>
      <c r="L165" s="6" t="str">
        <f>IF(R165&lt;=12,"有效","无效")</f>
        <v>有效</v>
      </c>
      <c r="M165" s="34" t="s">
        <v>641</v>
      </c>
      <c r="N165" s="35"/>
      <c r="O165" s="35"/>
      <c r="P165" s="35"/>
      <c r="Q165" s="36"/>
      <c r="R165" s="10">
        <f>LEN(M165)</f>
        <v>8</v>
      </c>
      <c r="S165" s="10">
        <f>MOD(R165,2)*4+FLOOR(R165/2,1)*6</f>
        <v>24</v>
      </c>
      <c r="T165" s="12">
        <f>S165+S166</f>
        <v>46</v>
      </c>
    </row>
    <row r="166" spans="1:20" ht="20" customHeight="1">
      <c r="A166" s="22"/>
      <c r="B166" s="6" t="str">
        <f>IF(H166&lt;=12,"有效","无效")</f>
        <v>有效</v>
      </c>
      <c r="C166" s="31" t="s">
        <v>638</v>
      </c>
      <c r="D166" s="32"/>
      <c r="E166" s="32"/>
      <c r="F166" s="32"/>
      <c r="G166" s="33"/>
      <c r="H166" s="4">
        <f>LEN(C166)</f>
        <v>8</v>
      </c>
      <c r="I166" s="11">
        <f>MOD(H166,2)*4+FLOOR(H166/2,1)*6</f>
        <v>24</v>
      </c>
      <c r="J166" s="12" t="str">
        <f>IF(J165&lt;I162,"有效","无效")</f>
        <v>有效</v>
      </c>
      <c r="K166" s="20"/>
      <c r="L166" s="6" t="str">
        <f>IF(R166&lt;=12,"有效","无效")</f>
        <v>有效</v>
      </c>
      <c r="M166" s="34" t="s">
        <v>642</v>
      </c>
      <c r="N166" s="35"/>
      <c r="O166" s="35"/>
      <c r="P166" s="35"/>
      <c r="Q166" s="36"/>
      <c r="R166" s="10">
        <f>LEN(M166)</f>
        <v>7</v>
      </c>
      <c r="S166" s="10">
        <f>MOD(R166,2)*4+FLOOR(R166/2,1)*6</f>
        <v>22</v>
      </c>
      <c r="T166" s="12" t="str">
        <f>IF(T165&lt;I162,"有效","无效")</f>
        <v>有效</v>
      </c>
    </row>
    <row r="167" spans="1:20" ht="20" customHeight="1">
      <c r="A167" s="22">
        <v>34</v>
      </c>
      <c r="B167" s="23" t="s">
        <v>52</v>
      </c>
      <c r="C167" s="24" t="s">
        <v>51</v>
      </c>
      <c r="D167" s="14">
        <f>LEN($B167)</f>
        <v>3</v>
      </c>
      <c r="E167" s="14">
        <f>LEN(C167)+3</f>
        <v>5</v>
      </c>
      <c r="F167" s="14">
        <f>MOD(D167,2)*4+FLOOR(D167/2,1)*6</f>
        <v>10</v>
      </c>
      <c r="G167" s="14">
        <f>MOD(E167,2)*4+FLOOR(E167/2,1)*6</f>
        <v>16</v>
      </c>
      <c r="H167" s="14">
        <v>12</v>
      </c>
      <c r="I167" s="14">
        <f>108-H167-G167-F167</f>
        <v>70</v>
      </c>
    </row>
    <row r="168" spans="1:20" ht="20" customHeight="1">
      <c r="A168" s="22"/>
      <c r="B168" s="6" t="str">
        <f>IF(H168&lt;=12,"有效","无效")</f>
        <v>有效</v>
      </c>
      <c r="C168" s="34" t="s">
        <v>645</v>
      </c>
      <c r="D168" s="35"/>
      <c r="E168" s="35"/>
      <c r="F168" s="35"/>
      <c r="G168" s="36"/>
      <c r="H168" s="4">
        <f>LEN(C168)</f>
        <v>8</v>
      </c>
      <c r="I168" s="11">
        <f>MOD(H168,2)*4+FLOOR(H168/2,1)*6</f>
        <v>24</v>
      </c>
      <c r="J168" s="12">
        <f>I168+I169</f>
        <v>46</v>
      </c>
      <c r="K168" s="20"/>
      <c r="L168" s="13" t="str">
        <f>IF(R168&lt;=12,"有效","无效")</f>
        <v>有效</v>
      </c>
      <c r="M168" s="35" t="s">
        <v>649</v>
      </c>
      <c r="N168" s="35"/>
      <c r="O168" s="35"/>
      <c r="P168" s="35"/>
      <c r="Q168" s="36"/>
      <c r="R168" s="10">
        <f>LEN(M168)</f>
        <v>9</v>
      </c>
      <c r="S168" s="10">
        <f>MOD(R168,2)*4+FLOOR(R168/2,1)*6</f>
        <v>28</v>
      </c>
      <c r="T168" s="12">
        <f>S168+S169</f>
        <v>46</v>
      </c>
    </row>
    <row r="169" spans="1:20" ht="20" customHeight="1">
      <c r="A169" s="22"/>
      <c r="B169" s="6" t="str">
        <f>IF(H169&lt;=12,"有效","无效")</f>
        <v>有效</v>
      </c>
      <c r="C169" s="34" t="s">
        <v>646</v>
      </c>
      <c r="D169" s="35"/>
      <c r="E169" s="35"/>
      <c r="F169" s="35"/>
      <c r="G169" s="36"/>
      <c r="H169" s="4">
        <f>LEN(C169)</f>
        <v>7</v>
      </c>
      <c r="I169" s="11">
        <f>MOD(H169,2)*4+FLOOR(H169/2,1)*6</f>
        <v>22</v>
      </c>
      <c r="J169" s="12" t="str">
        <f>IF(J168&lt;I167,"有效","无效")</f>
        <v>有效</v>
      </c>
      <c r="K169" s="20"/>
      <c r="L169" s="6" t="str">
        <f>IF(R169&lt;=12,"有效","无效")</f>
        <v>有效</v>
      </c>
      <c r="M169" s="34" t="s">
        <v>650</v>
      </c>
      <c r="N169" s="35"/>
      <c r="O169" s="35"/>
      <c r="P169" s="35"/>
      <c r="Q169" s="36"/>
      <c r="R169" s="10">
        <f>LEN(M169)</f>
        <v>6</v>
      </c>
      <c r="S169" s="10">
        <f>MOD(R169,2)*4+FLOOR(R169/2,1)*6</f>
        <v>18</v>
      </c>
      <c r="T169" s="12" t="str">
        <f>IF(T168&lt;I167,"有效","无效")</f>
        <v>有效</v>
      </c>
    </row>
    <row r="170" spans="1:20" ht="20" customHeight="1">
      <c r="A170" s="22"/>
      <c r="B170" s="6" t="str">
        <f>IF(H170&lt;=12,"有效","无效")</f>
        <v>有效</v>
      </c>
      <c r="C170" s="34" t="s">
        <v>648</v>
      </c>
      <c r="D170" s="35"/>
      <c r="E170" s="35"/>
      <c r="F170" s="35"/>
      <c r="G170" s="36"/>
      <c r="H170" s="4">
        <f>LEN(C170)</f>
        <v>8</v>
      </c>
      <c r="I170" s="11">
        <f>MOD(H170,2)*4+FLOOR(H170/2,1)*6</f>
        <v>24</v>
      </c>
      <c r="J170" s="12">
        <f>I170+I171</f>
        <v>36</v>
      </c>
      <c r="K170" s="20"/>
      <c r="L170" s="6" t="str">
        <f>IF(R170&lt;=12,"有效","无效")</f>
        <v>有效</v>
      </c>
      <c r="M170" s="34" t="s">
        <v>651</v>
      </c>
      <c r="N170" s="35"/>
      <c r="O170" s="35"/>
      <c r="P170" s="35"/>
      <c r="Q170" s="36"/>
      <c r="R170" s="10">
        <f>LEN(M170)</f>
        <v>6</v>
      </c>
      <c r="S170" s="10">
        <f>MOD(R170,2)*4+FLOOR(R170/2,1)*6</f>
        <v>18</v>
      </c>
      <c r="T170" s="12">
        <f>S170+S171</f>
        <v>40</v>
      </c>
    </row>
    <row r="171" spans="1:20" ht="20" customHeight="1">
      <c r="A171" s="22"/>
      <c r="B171" s="6" t="str">
        <f>IF(H171&lt;=12,"有效","无效")</f>
        <v>有效</v>
      </c>
      <c r="C171" s="34" t="s">
        <v>647</v>
      </c>
      <c r="D171" s="35"/>
      <c r="E171" s="35"/>
      <c r="F171" s="35"/>
      <c r="G171" s="36"/>
      <c r="H171" s="4">
        <f>LEN(C171)</f>
        <v>4</v>
      </c>
      <c r="I171" s="11">
        <f>MOD(H171,2)*4+FLOOR(H171/2,1)*6</f>
        <v>12</v>
      </c>
      <c r="J171" s="12" t="str">
        <f>IF(J170&lt;I167,"有效","无效")</f>
        <v>有效</v>
      </c>
      <c r="K171" s="20"/>
      <c r="L171" s="6" t="str">
        <f>IF(R171&lt;=12,"有效","无效")</f>
        <v>有效</v>
      </c>
      <c r="M171" s="34" t="s">
        <v>652</v>
      </c>
      <c r="N171" s="35"/>
      <c r="O171" s="35"/>
      <c r="P171" s="35"/>
      <c r="Q171" s="36"/>
      <c r="R171" s="10">
        <f>LEN(M171)</f>
        <v>7</v>
      </c>
      <c r="S171" s="10">
        <f>MOD(R171,2)*4+FLOOR(R171/2,1)*6</f>
        <v>22</v>
      </c>
      <c r="T171" s="12" t="str">
        <f>IF(T170&lt;I167,"有效","无效")</f>
        <v>有效</v>
      </c>
    </row>
    <row r="172" spans="1:20" ht="20" customHeight="1">
      <c r="A172" s="22">
        <v>35</v>
      </c>
      <c r="B172" s="23" t="s">
        <v>53</v>
      </c>
      <c r="C172" s="24" t="s">
        <v>54</v>
      </c>
      <c r="D172" s="14">
        <f>LEN($B172)</f>
        <v>2</v>
      </c>
      <c r="E172" s="14">
        <f>LEN(C172)+3</f>
        <v>5</v>
      </c>
      <c r="F172" s="14">
        <f>MOD(D172,2)*4+FLOOR(D172/2,1)*6</f>
        <v>6</v>
      </c>
      <c r="G172" s="14">
        <f>MOD(E172,2)*4+FLOOR(E172/2,1)*6</f>
        <v>16</v>
      </c>
      <c r="H172" s="14">
        <v>12</v>
      </c>
      <c r="I172" s="14">
        <f>108-H172-G172-F172</f>
        <v>74</v>
      </c>
    </row>
    <row r="173" spans="1:20" ht="20" customHeight="1">
      <c r="A173" s="22"/>
      <c r="B173" s="6" t="str">
        <f>IF(H173&lt;=12,"有效","无效")</f>
        <v>有效</v>
      </c>
      <c r="C173" s="31" t="s">
        <v>653</v>
      </c>
      <c r="D173" s="32"/>
      <c r="E173" s="32"/>
      <c r="F173" s="32"/>
      <c r="G173" s="33"/>
      <c r="H173" s="4">
        <f>LEN(C173)</f>
        <v>3</v>
      </c>
      <c r="I173" s="11">
        <f>MOD(H173,2)*4+FLOOR(H173/2,1)*6</f>
        <v>10</v>
      </c>
      <c r="J173" s="12">
        <f>I173+I174</f>
        <v>28</v>
      </c>
      <c r="K173" s="20"/>
      <c r="L173" s="13" t="str">
        <f>IF(R173&lt;=12,"有效","无效")</f>
        <v>有效</v>
      </c>
      <c r="M173" s="32" t="s">
        <v>657</v>
      </c>
      <c r="N173" s="32"/>
      <c r="O173" s="32"/>
      <c r="P173" s="32"/>
      <c r="Q173" s="33"/>
      <c r="R173" s="10">
        <f>LEN(M173)</f>
        <v>9</v>
      </c>
      <c r="S173" s="10">
        <f>MOD(R173,2)*4+FLOOR(R173/2,1)*6</f>
        <v>28</v>
      </c>
      <c r="T173" s="12">
        <f>S173+S174</f>
        <v>58</v>
      </c>
    </row>
    <row r="174" spans="1:20" ht="20" customHeight="1">
      <c r="A174" s="22"/>
      <c r="B174" s="6" t="str">
        <f>IF(H174&lt;=12,"有效","无效")</f>
        <v>有效</v>
      </c>
      <c r="C174" s="31" t="s">
        <v>654</v>
      </c>
      <c r="D174" s="32"/>
      <c r="E174" s="32"/>
      <c r="F174" s="32"/>
      <c r="G174" s="33"/>
      <c r="H174" s="4">
        <f>LEN(C174)</f>
        <v>6</v>
      </c>
      <c r="I174" s="11">
        <f>MOD(H174,2)*4+FLOOR(H174/2,1)*6</f>
        <v>18</v>
      </c>
      <c r="J174" s="12" t="str">
        <f>IF(J173&lt;I172,"有效","无效")</f>
        <v>有效</v>
      </c>
      <c r="K174" s="20"/>
      <c r="L174" s="6" t="str">
        <f>IF(R174&lt;=12,"有效","无效")</f>
        <v>有效</v>
      </c>
      <c r="M174" s="31" t="s">
        <v>658</v>
      </c>
      <c r="N174" s="32"/>
      <c r="O174" s="32"/>
      <c r="P174" s="32"/>
      <c r="Q174" s="33"/>
      <c r="R174" s="10">
        <f>LEN(M174)</f>
        <v>10</v>
      </c>
      <c r="S174" s="10">
        <f>MOD(R174,2)*4+FLOOR(R174/2,1)*6</f>
        <v>30</v>
      </c>
      <c r="T174" s="12" t="str">
        <f>IF(T173&lt;I172,"有效","无效")</f>
        <v>有效</v>
      </c>
    </row>
    <row r="175" spans="1:20" ht="20" customHeight="1">
      <c r="A175" s="22"/>
      <c r="B175" s="6" t="str">
        <f>IF(H175&lt;=12,"有效","无效")</f>
        <v>有效</v>
      </c>
      <c r="C175" s="31" t="s">
        <v>655</v>
      </c>
      <c r="D175" s="32"/>
      <c r="E175" s="32"/>
      <c r="F175" s="32"/>
      <c r="G175" s="33"/>
      <c r="H175" s="4">
        <f>LEN(C175)</f>
        <v>9</v>
      </c>
      <c r="I175" s="11">
        <f>MOD(H175,2)*4+FLOOR(H175/2,1)*6</f>
        <v>28</v>
      </c>
      <c r="J175" s="12">
        <f>I175+I176</f>
        <v>46</v>
      </c>
      <c r="K175" s="20"/>
      <c r="L175" s="6" t="str">
        <f>IF(R175&lt;=12,"有效","无效")</f>
        <v>有效</v>
      </c>
      <c r="M175" s="31" t="s">
        <v>660</v>
      </c>
      <c r="N175" s="32"/>
      <c r="O175" s="32"/>
      <c r="P175" s="32"/>
      <c r="Q175" s="33"/>
      <c r="R175" s="10">
        <f>LEN(M175)</f>
        <v>2</v>
      </c>
      <c r="S175" s="10">
        <f>MOD(R175,2)*4+FLOOR(R175/2,1)*6</f>
        <v>6</v>
      </c>
      <c r="T175" s="12">
        <f>S175+S176</f>
        <v>28</v>
      </c>
    </row>
    <row r="176" spans="1:20" ht="20" customHeight="1">
      <c r="A176" s="22"/>
      <c r="B176" s="6" t="str">
        <f>IF(H176&lt;=12,"有效","无效")</f>
        <v>有效</v>
      </c>
      <c r="C176" s="31" t="s">
        <v>656</v>
      </c>
      <c r="D176" s="32"/>
      <c r="E176" s="32"/>
      <c r="F176" s="32"/>
      <c r="G176" s="33"/>
      <c r="H176" s="4">
        <f>LEN(C176)</f>
        <v>6</v>
      </c>
      <c r="I176" s="11">
        <f>MOD(H176,2)*4+FLOOR(H176/2,1)*6</f>
        <v>18</v>
      </c>
      <c r="J176" s="12" t="str">
        <f>IF(J175&lt;I172,"有效","无效")</f>
        <v>有效</v>
      </c>
      <c r="K176" s="20"/>
      <c r="L176" s="6" t="str">
        <f>IF(R176&lt;=12,"有效","无效")</f>
        <v>有效</v>
      </c>
      <c r="M176" s="31" t="s">
        <v>659</v>
      </c>
      <c r="N176" s="32"/>
      <c r="O176" s="32"/>
      <c r="P176" s="32"/>
      <c r="Q176" s="33"/>
      <c r="R176" s="10">
        <f>LEN(M176)</f>
        <v>7</v>
      </c>
      <c r="S176" s="10">
        <f>MOD(R176,2)*4+FLOOR(R176/2,1)*6</f>
        <v>22</v>
      </c>
      <c r="T176" s="12" t="str">
        <f>IF(T175&lt;I172,"有效","无效")</f>
        <v>有效</v>
      </c>
    </row>
    <row r="177" spans="1:20" ht="20" customHeight="1">
      <c r="A177" s="22">
        <v>36</v>
      </c>
      <c r="B177" s="23" t="s">
        <v>55</v>
      </c>
      <c r="C177" s="24" t="s">
        <v>54</v>
      </c>
      <c r="D177" s="14">
        <f>LEN($B177)</f>
        <v>3</v>
      </c>
      <c r="E177" s="14">
        <f>LEN(C177)+3</f>
        <v>5</v>
      </c>
      <c r="F177" s="14">
        <f>MOD(D177,2)*4+FLOOR(D177/2,1)*6</f>
        <v>10</v>
      </c>
      <c r="G177" s="14">
        <f>MOD(E177,2)*4+FLOOR(E177/2,1)*6</f>
        <v>16</v>
      </c>
      <c r="H177" s="14">
        <v>12</v>
      </c>
      <c r="I177" s="14">
        <f>108-H177-G177-F177</f>
        <v>70</v>
      </c>
    </row>
    <row r="178" spans="1:20" ht="20" customHeight="1">
      <c r="A178" s="22"/>
      <c r="B178" s="6" t="str">
        <f>IF(H178&lt;=12,"有效","无效")</f>
        <v>有效</v>
      </c>
      <c r="C178" s="34" t="s">
        <v>661</v>
      </c>
      <c r="D178" s="35"/>
      <c r="E178" s="35"/>
      <c r="F178" s="35"/>
      <c r="G178" s="36"/>
      <c r="H178" s="4">
        <f>LEN(C178)</f>
        <v>7</v>
      </c>
      <c r="I178" s="11">
        <f>MOD(H178,2)*4+FLOOR(H178/2,1)*6</f>
        <v>22</v>
      </c>
      <c r="J178" s="12">
        <f>I178+I179</f>
        <v>46</v>
      </c>
      <c r="K178" s="20"/>
      <c r="L178" s="13" t="str">
        <f>IF(R178&lt;=12,"有效","无效")</f>
        <v>有效</v>
      </c>
      <c r="M178" s="35" t="s">
        <v>2269</v>
      </c>
      <c r="N178" s="35"/>
      <c r="O178" s="35"/>
      <c r="P178" s="35"/>
      <c r="Q178" s="36"/>
      <c r="R178" s="10">
        <f>LEN(M178)</f>
        <v>10</v>
      </c>
      <c r="S178" s="10">
        <f>MOD(R178,2)*4+FLOOR(R178/2,1)*6</f>
        <v>30</v>
      </c>
      <c r="T178" s="12">
        <f>S178+S179</f>
        <v>60</v>
      </c>
    </row>
    <row r="179" spans="1:20" ht="20" customHeight="1">
      <c r="A179" s="22"/>
      <c r="B179" s="6" t="str">
        <f>IF(H179&lt;=12,"有效","无效")</f>
        <v>有效</v>
      </c>
      <c r="C179" s="34" t="s">
        <v>662</v>
      </c>
      <c r="D179" s="35"/>
      <c r="E179" s="35"/>
      <c r="F179" s="35"/>
      <c r="G179" s="36"/>
      <c r="H179" s="4">
        <f>LEN(C179)</f>
        <v>8</v>
      </c>
      <c r="I179" s="11">
        <f>MOD(H179,2)*4+FLOOR(H179/2,1)*6</f>
        <v>24</v>
      </c>
      <c r="J179" s="12" t="str">
        <f>IF(J178&lt;I177,"有效","无效")</f>
        <v>有效</v>
      </c>
      <c r="K179" s="20"/>
      <c r="L179" s="6" t="str">
        <f>IF(R179&lt;=12,"有效","无效")</f>
        <v>有效</v>
      </c>
      <c r="M179" s="34" t="s">
        <v>2270</v>
      </c>
      <c r="N179" s="35"/>
      <c r="O179" s="35"/>
      <c r="P179" s="35"/>
      <c r="Q179" s="36"/>
      <c r="R179" s="10">
        <f>LEN(M179)</f>
        <v>10</v>
      </c>
      <c r="S179" s="10">
        <f>MOD(R179,2)*4+FLOOR(R179/2,1)*6</f>
        <v>30</v>
      </c>
      <c r="T179" s="12" t="str">
        <f>IF(T178&lt;I177,"有效","无效")</f>
        <v>有效</v>
      </c>
    </row>
    <row r="180" spans="1:20" ht="20" customHeight="1">
      <c r="A180" s="22"/>
      <c r="B180" s="6" t="str">
        <f>IF(H180&lt;=12,"有效","无效")</f>
        <v>有效</v>
      </c>
      <c r="C180" s="34" t="s">
        <v>663</v>
      </c>
      <c r="D180" s="35"/>
      <c r="E180" s="35"/>
      <c r="F180" s="35"/>
      <c r="G180" s="36"/>
      <c r="H180" s="4">
        <f>LEN(C180)</f>
        <v>5</v>
      </c>
      <c r="I180" s="11">
        <f>MOD(H180,2)*4+FLOOR(H180/2,1)*6</f>
        <v>16</v>
      </c>
      <c r="J180" s="12">
        <f>I180+I181</f>
        <v>40</v>
      </c>
      <c r="K180" s="20"/>
      <c r="L180" s="6" t="str">
        <f>IF(R180&lt;=12,"有效","无效")</f>
        <v>有效</v>
      </c>
      <c r="M180" s="34" t="s">
        <v>2272</v>
      </c>
      <c r="N180" s="35"/>
      <c r="O180" s="35"/>
      <c r="P180" s="35"/>
      <c r="Q180" s="36"/>
      <c r="R180" s="10">
        <f>LEN(M180)</f>
        <v>4</v>
      </c>
      <c r="S180" s="10">
        <f>MOD(R180,2)*4+FLOOR(R180/2,1)*6</f>
        <v>12</v>
      </c>
      <c r="T180" s="12">
        <f>S180+S181</f>
        <v>36</v>
      </c>
    </row>
    <row r="181" spans="1:20" ht="20" customHeight="1">
      <c r="A181" s="22"/>
      <c r="B181" s="6" t="str">
        <f>IF(H181&lt;=12,"有效","无效")</f>
        <v>有效</v>
      </c>
      <c r="C181" s="34" t="s">
        <v>664</v>
      </c>
      <c r="D181" s="35"/>
      <c r="E181" s="35"/>
      <c r="F181" s="35"/>
      <c r="G181" s="36"/>
      <c r="H181" s="4">
        <f>LEN(C181)</f>
        <v>8</v>
      </c>
      <c r="I181" s="11">
        <f>MOD(H181,2)*4+FLOOR(H181/2,1)*6</f>
        <v>24</v>
      </c>
      <c r="J181" s="12" t="str">
        <f>IF(J180&lt;I177,"有效","无效")</f>
        <v>有效</v>
      </c>
      <c r="K181" s="20"/>
      <c r="L181" s="6" t="str">
        <f>IF(R181&lt;=12,"有效","无效")</f>
        <v>有效</v>
      </c>
      <c r="M181" s="34" t="s">
        <v>2271</v>
      </c>
      <c r="N181" s="35"/>
      <c r="O181" s="35"/>
      <c r="P181" s="35"/>
      <c r="Q181" s="36"/>
      <c r="R181" s="10">
        <f>LEN(M181)</f>
        <v>8</v>
      </c>
      <c r="S181" s="10">
        <f>MOD(R181,2)*4+FLOOR(R181/2,1)*6</f>
        <v>24</v>
      </c>
      <c r="T181" s="12" t="str">
        <f>IF(T180&lt;I177,"有效","无效")</f>
        <v>有效</v>
      </c>
    </row>
    <row r="182" spans="1:20" ht="20" customHeight="1">
      <c r="A182" s="22">
        <v>37</v>
      </c>
      <c r="B182" s="23" t="s">
        <v>56</v>
      </c>
      <c r="C182" s="24" t="s">
        <v>57</v>
      </c>
      <c r="D182" s="14">
        <f>LEN($B182)</f>
        <v>2</v>
      </c>
      <c r="E182" s="14">
        <f>LEN(C182)+3</f>
        <v>5</v>
      </c>
      <c r="F182" s="14">
        <f>MOD(D182,2)*4+FLOOR(D182/2,1)*6</f>
        <v>6</v>
      </c>
      <c r="G182" s="14">
        <f>MOD(E182,2)*4+FLOOR(E182/2,1)*6</f>
        <v>16</v>
      </c>
      <c r="H182" s="14">
        <v>12</v>
      </c>
      <c r="I182" s="14">
        <f>108-H182-G182-F182</f>
        <v>74</v>
      </c>
      <c r="J182" s="30"/>
    </row>
    <row r="183" spans="1:20" ht="20" customHeight="1">
      <c r="A183" s="22"/>
      <c r="B183" s="6" t="str">
        <f>IF(H183&lt;=12,"有效","无效")</f>
        <v>有效</v>
      </c>
      <c r="C183" s="34" t="s">
        <v>669</v>
      </c>
      <c r="D183" s="35"/>
      <c r="E183" s="35"/>
      <c r="F183" s="35"/>
      <c r="G183" s="36"/>
      <c r="H183" s="4">
        <f>LEN(C183)</f>
        <v>8</v>
      </c>
      <c r="I183" s="11">
        <f>MOD(H183,2)*4+FLOOR(H183/2,1)*6</f>
        <v>24</v>
      </c>
      <c r="J183" s="12">
        <f>I183+I184</f>
        <v>58</v>
      </c>
      <c r="K183" s="20"/>
      <c r="L183" s="13" t="str">
        <f>IF(R183&lt;=12,"有效","无效")</f>
        <v>有效</v>
      </c>
      <c r="M183" s="32" t="s">
        <v>665</v>
      </c>
      <c r="N183" s="32"/>
      <c r="O183" s="32"/>
      <c r="P183" s="32"/>
      <c r="Q183" s="33"/>
      <c r="R183" s="10">
        <f>LEN(M183)</f>
        <v>7</v>
      </c>
      <c r="S183" s="10">
        <f>MOD(R183,2)*4+FLOOR(R183/2,1)*6</f>
        <v>22</v>
      </c>
      <c r="T183" s="12">
        <f>S183+S184</f>
        <v>44</v>
      </c>
    </row>
    <row r="184" spans="1:20" ht="20" customHeight="1">
      <c r="A184" s="22"/>
      <c r="B184" s="6" t="str">
        <f>IF(H184&lt;=12,"有效","无效")</f>
        <v>有效</v>
      </c>
      <c r="C184" s="34" t="s">
        <v>2081</v>
      </c>
      <c r="D184" s="35"/>
      <c r="E184" s="35"/>
      <c r="F184" s="35"/>
      <c r="G184" s="36"/>
      <c r="H184" s="4">
        <f>LEN(C184)</f>
        <v>11</v>
      </c>
      <c r="I184" s="11">
        <f>MOD(H184,2)*4+FLOOR(H184/2,1)*6</f>
        <v>34</v>
      </c>
      <c r="J184" s="12" t="str">
        <f>IF(J183&lt;I182,"有效","无效")</f>
        <v>有效</v>
      </c>
      <c r="K184" s="20"/>
      <c r="L184" s="6" t="str">
        <f>IF(R184&lt;=12,"有效","无效")</f>
        <v>有效</v>
      </c>
      <c r="M184" s="31" t="s">
        <v>666</v>
      </c>
      <c r="N184" s="32"/>
      <c r="O184" s="32"/>
      <c r="P184" s="32"/>
      <c r="Q184" s="33"/>
      <c r="R184" s="10">
        <f>LEN(M184)</f>
        <v>7</v>
      </c>
      <c r="S184" s="10">
        <f>MOD(R184,2)*4+FLOOR(R184/2,1)*6</f>
        <v>22</v>
      </c>
      <c r="T184" s="12" t="str">
        <f>IF(T183&lt;I182,"有效","无效")</f>
        <v>有效</v>
      </c>
    </row>
    <row r="185" spans="1:20" ht="20" customHeight="1">
      <c r="A185" s="22"/>
      <c r="B185" s="6" t="str">
        <f>IF(H185&lt;=12,"有效","无效")</f>
        <v>有效</v>
      </c>
      <c r="C185" s="34" t="s">
        <v>670</v>
      </c>
      <c r="D185" s="35"/>
      <c r="E185" s="35"/>
      <c r="F185" s="35"/>
      <c r="G185" s="36"/>
      <c r="H185" s="4">
        <f>LEN(C185)</f>
        <v>6</v>
      </c>
      <c r="I185" s="11">
        <f>MOD(H185,2)*4+FLOOR(H185/2,1)*6</f>
        <v>18</v>
      </c>
      <c r="J185" s="12">
        <f>I185+I186</f>
        <v>46</v>
      </c>
      <c r="K185" s="20"/>
      <c r="L185" s="6" t="str">
        <f>IF(R185&lt;=12,"有效","无效")</f>
        <v>有效</v>
      </c>
      <c r="M185" s="31" t="s">
        <v>667</v>
      </c>
      <c r="N185" s="32"/>
      <c r="O185" s="32"/>
      <c r="P185" s="32"/>
      <c r="Q185" s="33"/>
      <c r="R185" s="10">
        <f>LEN(M185)</f>
        <v>11</v>
      </c>
      <c r="S185" s="10">
        <f>MOD(R185,2)*4+FLOOR(R185/2,1)*6</f>
        <v>34</v>
      </c>
      <c r="T185" s="12">
        <f>S185+S186</f>
        <v>52</v>
      </c>
    </row>
    <row r="186" spans="1:20" ht="20" customHeight="1">
      <c r="A186" s="22"/>
      <c r="B186" s="6" t="str">
        <f>IF(H186&lt;=12,"有效","无效")</f>
        <v>有效</v>
      </c>
      <c r="C186" s="34" t="s">
        <v>671</v>
      </c>
      <c r="D186" s="35"/>
      <c r="E186" s="35"/>
      <c r="F186" s="35"/>
      <c r="G186" s="36"/>
      <c r="H186" s="4">
        <f>LEN(C186)</f>
        <v>9</v>
      </c>
      <c r="I186" s="11">
        <f>MOD(H186,2)*4+FLOOR(H186/2,1)*6</f>
        <v>28</v>
      </c>
      <c r="J186" s="12" t="str">
        <f>IF(J185&lt;I182,"有效","无效")</f>
        <v>有效</v>
      </c>
      <c r="K186" s="20"/>
      <c r="L186" s="6" t="str">
        <f>IF(R186&lt;=12,"有效","无效")</f>
        <v>有效</v>
      </c>
      <c r="M186" s="31" t="s">
        <v>668</v>
      </c>
      <c r="N186" s="32"/>
      <c r="O186" s="32"/>
      <c r="P186" s="32"/>
      <c r="Q186" s="33"/>
      <c r="R186" s="10">
        <f>LEN(M186)</f>
        <v>6</v>
      </c>
      <c r="S186" s="10">
        <f>MOD(R186,2)*4+FLOOR(R186/2,1)*6</f>
        <v>18</v>
      </c>
      <c r="T186" s="12" t="str">
        <f>IF(T185&lt;I182,"有效","无效")</f>
        <v>有效</v>
      </c>
    </row>
    <row r="187" spans="1:20" ht="20" customHeight="1">
      <c r="A187" s="22">
        <v>38</v>
      </c>
      <c r="B187" s="23" t="s">
        <v>58</v>
      </c>
      <c r="C187" s="24" t="s">
        <v>57</v>
      </c>
      <c r="D187" s="14">
        <f>LEN($B187)</f>
        <v>2</v>
      </c>
      <c r="E187" s="14">
        <f>LEN(C187)+3</f>
        <v>5</v>
      </c>
      <c r="F187" s="14">
        <f>MOD(D187,2)*4+FLOOR(D187/2,1)*6</f>
        <v>6</v>
      </c>
      <c r="G187" s="14">
        <f>MOD(E187,2)*4+FLOOR(E187/2,1)*6</f>
        <v>16</v>
      </c>
      <c r="H187" s="14">
        <v>12</v>
      </c>
      <c r="I187" s="14">
        <f>108-H187-G187-F187</f>
        <v>74</v>
      </c>
    </row>
    <row r="188" spans="1:20" ht="20" customHeight="1">
      <c r="A188" s="22"/>
      <c r="B188" s="6" t="str">
        <f>IF(H188&lt;=12,"有效","无效")</f>
        <v>有效</v>
      </c>
      <c r="C188" s="31" t="s">
        <v>672</v>
      </c>
      <c r="D188" s="32"/>
      <c r="E188" s="32"/>
      <c r="F188" s="32"/>
      <c r="G188" s="33"/>
      <c r="H188" s="4">
        <f>LEN(C188)</f>
        <v>4</v>
      </c>
      <c r="I188" s="11">
        <f>MOD(H188,2)*4+FLOOR(H188/2,1)*6</f>
        <v>12</v>
      </c>
      <c r="J188" s="12">
        <f>I188+I189</f>
        <v>28</v>
      </c>
      <c r="K188" s="20"/>
      <c r="L188" s="13" t="str">
        <f>IF(R188&lt;=12,"有效","无效")</f>
        <v>有效</v>
      </c>
      <c r="M188" s="35" t="s">
        <v>676</v>
      </c>
      <c r="N188" s="35"/>
      <c r="O188" s="35"/>
      <c r="P188" s="35"/>
      <c r="Q188" s="36"/>
      <c r="R188" s="10">
        <f>LEN(M188)</f>
        <v>8</v>
      </c>
      <c r="S188" s="10">
        <f>MOD(R188,2)*4+FLOOR(R188/2,1)*6</f>
        <v>24</v>
      </c>
      <c r="T188" s="12">
        <f>S188+S189</f>
        <v>46</v>
      </c>
    </row>
    <row r="189" spans="1:20" ht="20" customHeight="1">
      <c r="A189" s="22"/>
      <c r="B189" s="6" t="str">
        <f>IF(H189&lt;=12,"有效","无效")</f>
        <v>有效</v>
      </c>
      <c r="C189" s="31" t="s">
        <v>673</v>
      </c>
      <c r="D189" s="32"/>
      <c r="E189" s="32"/>
      <c r="F189" s="32"/>
      <c r="G189" s="33"/>
      <c r="H189" s="4">
        <f>LEN(C189)</f>
        <v>5</v>
      </c>
      <c r="I189" s="11">
        <f>MOD(H189,2)*4+FLOOR(H189/2,1)*6</f>
        <v>16</v>
      </c>
      <c r="J189" s="12" t="str">
        <f>IF(J188&lt;I187,"有效","无效")</f>
        <v>有效</v>
      </c>
      <c r="K189" s="20"/>
      <c r="L189" s="6" t="str">
        <f>IF(R189&lt;=12,"有效","无效")</f>
        <v>有效</v>
      </c>
      <c r="M189" s="34" t="s">
        <v>677</v>
      </c>
      <c r="N189" s="35"/>
      <c r="O189" s="35"/>
      <c r="P189" s="35"/>
      <c r="Q189" s="36"/>
      <c r="R189" s="10">
        <f>LEN(M189)</f>
        <v>7</v>
      </c>
      <c r="S189" s="10">
        <f>MOD(R189,2)*4+FLOOR(R189/2,1)*6</f>
        <v>22</v>
      </c>
      <c r="T189" s="12" t="str">
        <f>IF(T188&lt;I187,"有效","无效")</f>
        <v>有效</v>
      </c>
    </row>
    <row r="190" spans="1:20" ht="20" customHeight="1">
      <c r="A190" s="22"/>
      <c r="B190" s="6" t="str">
        <f>IF(H190&lt;=12,"有效","无效")</f>
        <v>有效</v>
      </c>
      <c r="C190" s="31" t="s">
        <v>674</v>
      </c>
      <c r="D190" s="32"/>
      <c r="E190" s="32"/>
      <c r="F190" s="32"/>
      <c r="G190" s="33"/>
      <c r="H190" s="4">
        <f>LEN(C190)</f>
        <v>7</v>
      </c>
      <c r="I190" s="11">
        <f>MOD(H190,2)*4+FLOOR(H190/2,1)*6</f>
        <v>22</v>
      </c>
      <c r="J190" s="12">
        <f>I190+I191</f>
        <v>38</v>
      </c>
      <c r="K190" s="20"/>
      <c r="L190" s="6" t="str">
        <f>IF(R190&lt;=12,"有效","无效")</f>
        <v>有效</v>
      </c>
      <c r="M190" s="34" t="s">
        <v>678</v>
      </c>
      <c r="N190" s="35"/>
      <c r="O190" s="35"/>
      <c r="P190" s="35"/>
      <c r="Q190" s="36"/>
      <c r="R190" s="10">
        <f>LEN(M190)</f>
        <v>8</v>
      </c>
      <c r="S190" s="10">
        <f>MOD(R190,2)*4+FLOOR(R190/2,1)*6</f>
        <v>24</v>
      </c>
      <c r="T190" s="12">
        <f>S190+S191</f>
        <v>40</v>
      </c>
    </row>
    <row r="191" spans="1:20" ht="20" customHeight="1">
      <c r="A191" s="22"/>
      <c r="B191" s="6" t="str">
        <f>IF(H191&lt;=12,"有效","无效")</f>
        <v>有效</v>
      </c>
      <c r="C191" s="31" t="s">
        <v>675</v>
      </c>
      <c r="D191" s="32"/>
      <c r="E191" s="32"/>
      <c r="F191" s="32"/>
      <c r="G191" s="33"/>
      <c r="H191" s="4">
        <f>LEN(C191)</f>
        <v>5</v>
      </c>
      <c r="I191" s="11">
        <f>MOD(H191,2)*4+FLOOR(H191/2,1)*6</f>
        <v>16</v>
      </c>
      <c r="J191" s="12" t="str">
        <f>IF(J190&lt;I187,"有效","无效")</f>
        <v>有效</v>
      </c>
      <c r="K191" s="20"/>
      <c r="L191" s="6" t="str">
        <f>IF(R191&lt;=12,"有效","无效")</f>
        <v>有效</v>
      </c>
      <c r="M191" s="34" t="s">
        <v>679</v>
      </c>
      <c r="N191" s="35"/>
      <c r="O191" s="35"/>
      <c r="P191" s="35"/>
      <c r="Q191" s="36"/>
      <c r="R191" s="10">
        <f>LEN(M191)</f>
        <v>5</v>
      </c>
      <c r="S191" s="10">
        <f>MOD(R191,2)*4+FLOOR(R191/2,1)*6</f>
        <v>16</v>
      </c>
      <c r="T191" s="12" t="str">
        <f>IF(T190&lt;I187,"有效","无效")</f>
        <v>有效</v>
      </c>
    </row>
    <row r="192" spans="1:20" ht="20" customHeight="1">
      <c r="A192" s="22">
        <v>39</v>
      </c>
      <c r="B192" s="23" t="s">
        <v>59</v>
      </c>
      <c r="C192" s="24" t="s">
        <v>60</v>
      </c>
      <c r="D192" s="14">
        <f>LEN($B192)</f>
        <v>2</v>
      </c>
      <c r="E192" s="14">
        <f>LEN(C192)+3</f>
        <v>5</v>
      </c>
      <c r="F192" s="14">
        <f>MOD(D192,2)*4+FLOOR(D192/2,1)*6</f>
        <v>6</v>
      </c>
      <c r="G192" s="14">
        <f>MOD(E192,2)*4+FLOOR(E192/2,1)*6</f>
        <v>16</v>
      </c>
      <c r="H192" s="14">
        <v>12</v>
      </c>
      <c r="I192" s="14">
        <f>108-H192-G192-F192</f>
        <v>74</v>
      </c>
      <c r="J192" s="30"/>
    </row>
    <row r="193" spans="1:20" ht="20" customHeight="1">
      <c r="A193" s="22"/>
      <c r="B193" s="6" t="str">
        <f>IF(H193&lt;=12,"有效","无效")</f>
        <v>有效</v>
      </c>
      <c r="C193" s="31" t="s">
        <v>2082</v>
      </c>
      <c r="D193" s="32"/>
      <c r="E193" s="32"/>
      <c r="F193" s="32"/>
      <c r="G193" s="33"/>
      <c r="H193" s="4">
        <f>LEN(C193)</f>
        <v>11</v>
      </c>
      <c r="I193" s="11">
        <f>MOD(H193,2)*4+FLOOR(H193/2,1)*6</f>
        <v>34</v>
      </c>
      <c r="J193" s="12">
        <f>I193+I194</f>
        <v>70</v>
      </c>
      <c r="K193" s="20"/>
      <c r="L193" s="13" t="str">
        <f>IF(R193&lt;=12,"有效","无效")</f>
        <v>有效</v>
      </c>
      <c r="M193" s="35" t="s">
        <v>2275</v>
      </c>
      <c r="N193" s="35"/>
      <c r="O193" s="35"/>
      <c r="P193" s="35"/>
      <c r="Q193" s="36"/>
      <c r="R193" s="10">
        <f>LEN(M193)</f>
        <v>5</v>
      </c>
      <c r="S193" s="10">
        <f>MOD(R193,2)*4+FLOOR(R193/2,1)*6</f>
        <v>16</v>
      </c>
      <c r="T193" s="12">
        <f>S193+S194</f>
        <v>40</v>
      </c>
    </row>
    <row r="194" spans="1:20" ht="20" customHeight="1">
      <c r="A194" s="22"/>
      <c r="B194" s="6" t="str">
        <f>IF(H194&lt;=12,"有效","无效")</f>
        <v>有效</v>
      </c>
      <c r="C194" s="31" t="s">
        <v>2083</v>
      </c>
      <c r="D194" s="32"/>
      <c r="E194" s="32"/>
      <c r="F194" s="32"/>
      <c r="G194" s="33"/>
      <c r="H194" s="4">
        <f>LEN(C194)</f>
        <v>12</v>
      </c>
      <c r="I194" s="11">
        <f>MOD(H194,2)*4+FLOOR(H194/2,1)*6</f>
        <v>36</v>
      </c>
      <c r="J194" s="12" t="str">
        <f>IF(J193&lt;I192,"有效","无效")</f>
        <v>有效</v>
      </c>
      <c r="K194" s="20"/>
      <c r="L194" s="6" t="str">
        <f>IF(R194&lt;=12,"有效","无效")</f>
        <v>有效</v>
      </c>
      <c r="M194" s="34" t="s">
        <v>2276</v>
      </c>
      <c r="N194" s="35"/>
      <c r="O194" s="35"/>
      <c r="P194" s="35"/>
      <c r="Q194" s="36"/>
      <c r="R194" s="10">
        <f>LEN(M194)</f>
        <v>8</v>
      </c>
      <c r="S194" s="10">
        <f>MOD(R194,2)*4+FLOOR(R194/2,1)*6</f>
        <v>24</v>
      </c>
      <c r="T194" s="12" t="str">
        <f>IF(T193&lt;I192,"有效","无效")</f>
        <v>有效</v>
      </c>
    </row>
    <row r="195" spans="1:20" ht="20" customHeight="1">
      <c r="A195" s="22"/>
      <c r="B195" s="6" t="str">
        <f>IF(H195&lt;=12,"有效","无效")</f>
        <v>有效</v>
      </c>
      <c r="C195" s="31" t="s">
        <v>2084</v>
      </c>
      <c r="D195" s="32"/>
      <c r="E195" s="32"/>
      <c r="F195" s="32"/>
      <c r="G195" s="33"/>
      <c r="H195" s="4">
        <f>LEN(C195)</f>
        <v>8</v>
      </c>
      <c r="I195" s="11">
        <f>MOD(H195,2)*4+FLOOR(H195/2,1)*6</f>
        <v>24</v>
      </c>
      <c r="J195" s="12">
        <f>I195+I196</f>
        <v>40</v>
      </c>
      <c r="K195" s="20"/>
      <c r="L195" s="6" t="str">
        <f>IF(R195&lt;=12,"有效","无效")</f>
        <v>有效</v>
      </c>
      <c r="M195" s="34" t="s">
        <v>2273</v>
      </c>
      <c r="N195" s="35"/>
      <c r="O195" s="35"/>
      <c r="P195" s="35"/>
      <c r="Q195" s="36"/>
      <c r="R195" s="10">
        <f>LEN(M195)</f>
        <v>12</v>
      </c>
      <c r="S195" s="10">
        <f>MOD(R195,2)*4+FLOOR(R195/2,1)*6</f>
        <v>36</v>
      </c>
      <c r="T195" s="12">
        <f>S195+S196</f>
        <v>66</v>
      </c>
    </row>
    <row r="196" spans="1:20" ht="20" customHeight="1">
      <c r="A196" s="22"/>
      <c r="B196" s="6" t="str">
        <f>IF(H196&lt;=12,"有效","无效")</f>
        <v>有效</v>
      </c>
      <c r="C196" s="31" t="s">
        <v>1064</v>
      </c>
      <c r="D196" s="32"/>
      <c r="E196" s="32"/>
      <c r="F196" s="32"/>
      <c r="G196" s="33"/>
      <c r="H196" s="4">
        <f>LEN(C196)</f>
        <v>5</v>
      </c>
      <c r="I196" s="11">
        <f>MOD(H196,2)*4+FLOOR(H196/2,1)*6</f>
        <v>16</v>
      </c>
      <c r="J196" s="12" t="str">
        <f>IF(J195&lt;I192,"有效","无效")</f>
        <v>有效</v>
      </c>
      <c r="K196" s="20"/>
      <c r="L196" s="6" t="str">
        <f>IF(R196&lt;=12,"有效","无效")</f>
        <v>有效</v>
      </c>
      <c r="M196" s="34" t="s">
        <v>2274</v>
      </c>
      <c r="N196" s="35"/>
      <c r="O196" s="35"/>
      <c r="P196" s="35"/>
      <c r="Q196" s="36"/>
      <c r="R196" s="10">
        <f>LEN(M196)</f>
        <v>10</v>
      </c>
      <c r="S196" s="10">
        <f>MOD(R196,2)*4+FLOOR(R196/2,1)*6</f>
        <v>30</v>
      </c>
      <c r="T196" s="12" t="str">
        <f>IF(T195&lt;I192,"有效","无效")</f>
        <v>有效</v>
      </c>
    </row>
    <row r="197" spans="1:20" ht="20" customHeight="1">
      <c r="A197" s="22">
        <v>40</v>
      </c>
      <c r="B197" s="23" t="s">
        <v>61</v>
      </c>
      <c r="C197" s="24" t="s">
        <v>60</v>
      </c>
      <c r="D197" s="14">
        <f>LEN($B197)</f>
        <v>3</v>
      </c>
      <c r="E197" s="14">
        <f>LEN(C197)+3</f>
        <v>5</v>
      </c>
      <c r="F197" s="14">
        <f>MOD(D197,2)*4+FLOOR(D197/2,1)*6</f>
        <v>10</v>
      </c>
      <c r="G197" s="14">
        <f>MOD(E197,2)*4+FLOOR(E197/2,1)*6</f>
        <v>16</v>
      </c>
      <c r="H197" s="14">
        <v>12</v>
      </c>
      <c r="I197" s="14">
        <f>108-H197-G197-F197</f>
        <v>70</v>
      </c>
    </row>
    <row r="198" spans="1:20" ht="20" customHeight="1">
      <c r="A198" s="22"/>
      <c r="B198" s="6" t="str">
        <f>IF(H198&lt;=12,"有效","无效")</f>
        <v>有效</v>
      </c>
      <c r="C198" s="31" t="s">
        <v>680</v>
      </c>
      <c r="D198" s="32"/>
      <c r="E198" s="32"/>
      <c r="F198" s="32"/>
      <c r="G198" s="33"/>
      <c r="H198" s="4">
        <f>LEN(C198)</f>
        <v>6</v>
      </c>
      <c r="I198" s="11">
        <f>MOD(H198,2)*4+FLOOR(H198/2,1)*6</f>
        <v>18</v>
      </c>
      <c r="J198" s="12">
        <f>I198+I199</f>
        <v>40</v>
      </c>
      <c r="K198" s="20"/>
      <c r="L198" s="13" t="str">
        <f>IF(R198&lt;=12,"有效","无效")</f>
        <v>有效</v>
      </c>
      <c r="M198" s="32" t="s">
        <v>684</v>
      </c>
      <c r="N198" s="32"/>
      <c r="O198" s="32"/>
      <c r="P198" s="32"/>
      <c r="Q198" s="33"/>
      <c r="R198" s="10">
        <f>LEN(M198)</f>
        <v>8</v>
      </c>
      <c r="S198" s="10">
        <f>MOD(R198,2)*4+FLOOR(R198/2,1)*6</f>
        <v>24</v>
      </c>
      <c r="T198" s="12">
        <f>S198+S199</f>
        <v>48</v>
      </c>
    </row>
    <row r="199" spans="1:20" ht="20" customHeight="1">
      <c r="A199" s="22"/>
      <c r="B199" s="6" t="str">
        <f>IF(H199&lt;=12,"有效","无效")</f>
        <v>有效</v>
      </c>
      <c r="C199" s="31" t="s">
        <v>681</v>
      </c>
      <c r="D199" s="32"/>
      <c r="E199" s="32"/>
      <c r="F199" s="32"/>
      <c r="G199" s="33"/>
      <c r="H199" s="4">
        <f>LEN(C199)</f>
        <v>7</v>
      </c>
      <c r="I199" s="11">
        <f>MOD(H199,2)*4+FLOOR(H199/2,1)*6</f>
        <v>22</v>
      </c>
      <c r="J199" s="12" t="str">
        <f>IF(J198&lt;I197,"有效","无效")</f>
        <v>有效</v>
      </c>
      <c r="K199" s="20"/>
      <c r="L199" s="6" t="str">
        <f>IF(R199&lt;=12,"有效","无效")</f>
        <v>有效</v>
      </c>
      <c r="M199" s="31" t="s">
        <v>685</v>
      </c>
      <c r="N199" s="32"/>
      <c r="O199" s="32"/>
      <c r="P199" s="32"/>
      <c r="Q199" s="33"/>
      <c r="R199" s="10">
        <f>LEN(M199)</f>
        <v>8</v>
      </c>
      <c r="S199" s="10">
        <f>MOD(R199,2)*4+FLOOR(R199/2,1)*6</f>
        <v>24</v>
      </c>
      <c r="T199" s="12" t="str">
        <f>IF(T198&lt;I197,"有效","无效")</f>
        <v>有效</v>
      </c>
    </row>
    <row r="200" spans="1:20" ht="20" customHeight="1">
      <c r="A200" s="22"/>
      <c r="B200" s="6" t="str">
        <f>IF(H200&lt;=12,"有效","无效")</f>
        <v>有效</v>
      </c>
      <c r="C200" s="31" t="s">
        <v>682</v>
      </c>
      <c r="D200" s="32"/>
      <c r="E200" s="32"/>
      <c r="F200" s="32"/>
      <c r="G200" s="33"/>
      <c r="H200" s="4">
        <f>LEN(C200)</f>
        <v>10</v>
      </c>
      <c r="I200" s="11">
        <f>MOD(H200,2)*4+FLOOR(H200/2,1)*6</f>
        <v>30</v>
      </c>
      <c r="J200" s="12">
        <f>I200+I201</f>
        <v>60</v>
      </c>
      <c r="K200" s="20"/>
      <c r="L200" s="6" t="str">
        <f>IF(R200&lt;=12,"有效","无效")</f>
        <v>有效</v>
      </c>
      <c r="M200" s="31" t="s">
        <v>686</v>
      </c>
      <c r="N200" s="32"/>
      <c r="O200" s="32"/>
      <c r="P200" s="32"/>
      <c r="Q200" s="33"/>
      <c r="R200" s="10">
        <f>LEN(M200)</f>
        <v>8</v>
      </c>
      <c r="S200" s="10">
        <f>MOD(R200,2)*4+FLOOR(R200/2,1)*6</f>
        <v>24</v>
      </c>
      <c r="T200" s="12">
        <f>S200+S201</f>
        <v>46</v>
      </c>
    </row>
    <row r="201" spans="1:20" ht="20" customHeight="1">
      <c r="A201" s="22"/>
      <c r="B201" s="6" t="str">
        <f>IF(H201&lt;=12,"有效","无效")</f>
        <v>有效</v>
      </c>
      <c r="C201" s="31" t="s">
        <v>683</v>
      </c>
      <c r="D201" s="32"/>
      <c r="E201" s="32"/>
      <c r="F201" s="32"/>
      <c r="G201" s="33"/>
      <c r="H201" s="4">
        <f>LEN(C201)</f>
        <v>10</v>
      </c>
      <c r="I201" s="11">
        <f>MOD(H201,2)*4+FLOOR(H201/2,1)*6</f>
        <v>30</v>
      </c>
      <c r="J201" s="12" t="str">
        <f>IF(J200&lt;I197,"有效","无效")</f>
        <v>有效</v>
      </c>
      <c r="K201" s="20"/>
      <c r="L201" s="6" t="str">
        <f>IF(R201&lt;=12,"有效","无效")</f>
        <v>有效</v>
      </c>
      <c r="M201" s="31" t="s">
        <v>687</v>
      </c>
      <c r="N201" s="32"/>
      <c r="O201" s="32"/>
      <c r="P201" s="32"/>
      <c r="Q201" s="33"/>
      <c r="R201" s="10">
        <f>LEN(M201)</f>
        <v>7</v>
      </c>
      <c r="S201" s="10">
        <f>MOD(R201,2)*4+FLOOR(R201/2,1)*6</f>
        <v>22</v>
      </c>
      <c r="T201" s="12" t="str">
        <f>IF(T200&lt;I197,"有效","无效")</f>
        <v>有效</v>
      </c>
    </row>
    <row r="202" spans="1:20" ht="20" customHeight="1">
      <c r="A202" s="22">
        <v>41</v>
      </c>
      <c r="B202" s="23" t="s">
        <v>62</v>
      </c>
      <c r="C202" s="24" t="s">
        <v>63</v>
      </c>
      <c r="D202" s="14">
        <f>LEN($B202)</f>
        <v>3</v>
      </c>
      <c r="E202" s="14">
        <f>LEN(C202)+3</f>
        <v>5</v>
      </c>
      <c r="F202" s="14">
        <f>MOD(D202,2)*4+FLOOR(D202/2,1)*6</f>
        <v>10</v>
      </c>
      <c r="G202" s="14">
        <f>MOD(E202,2)*4+FLOOR(E202/2,1)*6</f>
        <v>16</v>
      </c>
      <c r="H202" s="14">
        <v>12</v>
      </c>
      <c r="I202" s="14">
        <f>108-H202-G202-F202</f>
        <v>70</v>
      </c>
      <c r="J202" s="30"/>
    </row>
    <row r="203" spans="1:20" ht="20" customHeight="1">
      <c r="A203" s="22"/>
      <c r="B203" s="6" t="str">
        <f>IF(H203&lt;=12,"有效","无效")</f>
        <v>有效</v>
      </c>
      <c r="C203" s="34" t="s">
        <v>2087</v>
      </c>
      <c r="D203" s="35"/>
      <c r="E203" s="35"/>
      <c r="F203" s="35"/>
      <c r="G203" s="36"/>
      <c r="H203" s="4">
        <f>LEN(C203)</f>
        <v>5</v>
      </c>
      <c r="I203" s="11">
        <f>MOD(H203,2)*4+FLOOR(H203/2,1)*6</f>
        <v>16</v>
      </c>
      <c r="J203" s="12">
        <f>I203+I204</f>
        <v>26</v>
      </c>
      <c r="K203" s="20"/>
      <c r="L203" s="13" t="str">
        <f>IF(R203&lt;=12,"有效","无效")</f>
        <v>有效</v>
      </c>
      <c r="M203" s="35" t="s">
        <v>688</v>
      </c>
      <c r="N203" s="35"/>
      <c r="O203" s="35"/>
      <c r="P203" s="35"/>
      <c r="Q203" s="36"/>
      <c r="R203" s="10">
        <f>LEN(M203)</f>
        <v>6</v>
      </c>
      <c r="S203" s="10">
        <f>MOD(R203,2)*4+FLOOR(R203/2,1)*6</f>
        <v>18</v>
      </c>
      <c r="T203" s="12">
        <f>S203+S204</f>
        <v>40</v>
      </c>
    </row>
    <row r="204" spans="1:20" ht="20" customHeight="1">
      <c r="A204" s="22"/>
      <c r="B204" s="6" t="str">
        <f>IF(H204&lt;=12,"有效","无效")</f>
        <v>有效</v>
      </c>
      <c r="C204" s="34" t="s">
        <v>2088</v>
      </c>
      <c r="D204" s="35"/>
      <c r="E204" s="35"/>
      <c r="F204" s="35"/>
      <c r="G204" s="36"/>
      <c r="H204" s="4">
        <f>LEN(C204)</f>
        <v>3</v>
      </c>
      <c r="I204" s="11">
        <f>MOD(H204,2)*4+FLOOR(H204/2,1)*6</f>
        <v>10</v>
      </c>
      <c r="J204" s="12" t="str">
        <f>IF(J203&lt;I202,"有效","无效")</f>
        <v>有效</v>
      </c>
      <c r="K204" s="20"/>
      <c r="L204" s="6" t="str">
        <f>IF(R204&lt;=12,"有效","无效")</f>
        <v>有效</v>
      </c>
      <c r="M204" s="34" t="s">
        <v>689</v>
      </c>
      <c r="N204" s="35"/>
      <c r="O204" s="35"/>
      <c r="P204" s="35"/>
      <c r="Q204" s="36"/>
      <c r="R204" s="10">
        <f>LEN(M204)</f>
        <v>7</v>
      </c>
      <c r="S204" s="10">
        <f>MOD(R204,2)*4+FLOOR(R204/2,1)*6</f>
        <v>22</v>
      </c>
      <c r="T204" s="12" t="str">
        <f>IF(T203&lt;I202,"有效","无效")</f>
        <v>有效</v>
      </c>
    </row>
    <row r="205" spans="1:20" ht="20" customHeight="1">
      <c r="A205" s="22"/>
      <c r="B205" s="6" t="str">
        <f>IF(H205&lt;=12,"有效","无效")</f>
        <v>有效</v>
      </c>
      <c r="C205" s="34" t="s">
        <v>2085</v>
      </c>
      <c r="D205" s="35"/>
      <c r="E205" s="35"/>
      <c r="F205" s="35"/>
      <c r="G205" s="36"/>
      <c r="H205" s="4">
        <f>LEN(C205)</f>
        <v>11</v>
      </c>
      <c r="I205" s="11">
        <f>MOD(H205,2)*4+FLOOR(H205/2,1)*6</f>
        <v>34</v>
      </c>
      <c r="J205" s="12">
        <f>I205+I206</f>
        <v>68</v>
      </c>
      <c r="K205" s="20"/>
      <c r="L205" s="6" t="str">
        <f>IF(R205&lt;=12,"有效","无效")</f>
        <v>有效</v>
      </c>
      <c r="M205" s="34" t="s">
        <v>690</v>
      </c>
      <c r="N205" s="35"/>
      <c r="O205" s="35"/>
      <c r="P205" s="35"/>
      <c r="Q205" s="36"/>
      <c r="R205" s="10">
        <f>LEN(M205)</f>
        <v>11</v>
      </c>
      <c r="S205" s="10">
        <f>MOD(R205,2)*4+FLOOR(R205/2,1)*6</f>
        <v>34</v>
      </c>
      <c r="T205" s="12">
        <f>S205+S206</f>
        <v>62</v>
      </c>
    </row>
    <row r="206" spans="1:20" ht="20" customHeight="1">
      <c r="A206" s="22"/>
      <c r="B206" s="6" t="str">
        <f>IF(H206&lt;=12,"有效","无效")</f>
        <v>有效</v>
      </c>
      <c r="C206" s="34" t="s">
        <v>2086</v>
      </c>
      <c r="D206" s="35"/>
      <c r="E206" s="35"/>
      <c r="F206" s="35"/>
      <c r="G206" s="36"/>
      <c r="H206" s="4">
        <f>LEN(C206)</f>
        <v>11</v>
      </c>
      <c r="I206" s="11">
        <f>MOD(H206,2)*4+FLOOR(H206/2,1)*6</f>
        <v>34</v>
      </c>
      <c r="J206" s="12" t="str">
        <f>IF(J205&lt;I202,"有效","无效")</f>
        <v>有效</v>
      </c>
      <c r="K206" s="20"/>
      <c r="L206" s="6" t="str">
        <f>IF(R206&lt;=12,"有效","无效")</f>
        <v>有效</v>
      </c>
      <c r="M206" s="34" t="s">
        <v>691</v>
      </c>
      <c r="N206" s="35"/>
      <c r="O206" s="35"/>
      <c r="P206" s="35"/>
      <c r="Q206" s="36"/>
      <c r="R206" s="10">
        <f>LEN(M206)</f>
        <v>9</v>
      </c>
      <c r="S206" s="10">
        <f>MOD(R206,2)*4+FLOOR(R206/2,1)*6</f>
        <v>28</v>
      </c>
      <c r="T206" s="12" t="str">
        <f>IF(T205&lt;I202,"有效","无效")</f>
        <v>有效</v>
      </c>
    </row>
    <row r="207" spans="1:20" ht="20" customHeight="1">
      <c r="A207" s="22">
        <v>42</v>
      </c>
      <c r="B207" s="23" t="s">
        <v>64</v>
      </c>
      <c r="C207" s="24" t="s">
        <v>63</v>
      </c>
      <c r="D207" s="14">
        <f>LEN($B207)</f>
        <v>3</v>
      </c>
      <c r="E207" s="14">
        <f>LEN(C207)+3</f>
        <v>5</v>
      </c>
      <c r="F207" s="14">
        <f>MOD(D207,2)*4+FLOOR(D207/2,1)*6</f>
        <v>10</v>
      </c>
      <c r="G207" s="14">
        <f>MOD(E207,2)*4+FLOOR(E207/2,1)*6</f>
        <v>16</v>
      </c>
      <c r="H207" s="14">
        <v>12</v>
      </c>
      <c r="I207" s="14">
        <f>108-H207-G207-F207</f>
        <v>70</v>
      </c>
    </row>
    <row r="208" spans="1:20" ht="20" customHeight="1">
      <c r="A208" s="22"/>
      <c r="B208" s="6" t="str">
        <f>IF(H208&lt;=12,"有效","无效")</f>
        <v>有效</v>
      </c>
      <c r="C208" s="34" t="s">
        <v>692</v>
      </c>
      <c r="D208" s="35"/>
      <c r="E208" s="35"/>
      <c r="F208" s="35"/>
      <c r="G208" s="36"/>
      <c r="H208" s="4">
        <f>LEN(C208)</f>
        <v>9</v>
      </c>
      <c r="I208" s="11">
        <f>MOD(H208,2)*4+FLOOR(H208/2,1)*6</f>
        <v>28</v>
      </c>
      <c r="J208" s="12">
        <f>I208+I209</f>
        <v>62</v>
      </c>
      <c r="K208" s="20"/>
      <c r="L208" s="13" t="str">
        <f>IF(R208&lt;=12,"有效","无效")</f>
        <v>有效</v>
      </c>
      <c r="M208" s="35" t="s">
        <v>696</v>
      </c>
      <c r="N208" s="35"/>
      <c r="O208" s="35"/>
      <c r="P208" s="35"/>
      <c r="Q208" s="36"/>
      <c r="R208" s="10">
        <f>LEN(M208)</f>
        <v>12</v>
      </c>
      <c r="S208" s="10">
        <f>MOD(R208,2)*4+FLOOR(R208/2,1)*6</f>
        <v>36</v>
      </c>
      <c r="T208" s="12">
        <f>S208+S209</f>
        <v>64</v>
      </c>
    </row>
    <row r="209" spans="1:20" ht="20" customHeight="1">
      <c r="A209" s="22"/>
      <c r="B209" s="6" t="str">
        <f>IF(H209&lt;=12,"有效","无效")</f>
        <v>有效</v>
      </c>
      <c r="C209" s="34" t="s">
        <v>693</v>
      </c>
      <c r="D209" s="35"/>
      <c r="E209" s="35"/>
      <c r="F209" s="35"/>
      <c r="G209" s="36"/>
      <c r="H209" s="4">
        <f>LEN(C209)</f>
        <v>11</v>
      </c>
      <c r="I209" s="11">
        <f>MOD(H209,2)*4+FLOOR(H209/2,1)*6</f>
        <v>34</v>
      </c>
      <c r="J209" s="12" t="str">
        <f>IF(J208&lt;I207,"有效","无效")</f>
        <v>有效</v>
      </c>
      <c r="K209" s="20"/>
      <c r="L209" s="6" t="str">
        <f>IF(R209&lt;=12,"有效","无效")</f>
        <v>有效</v>
      </c>
      <c r="M209" s="34" t="s">
        <v>697</v>
      </c>
      <c r="N209" s="35"/>
      <c r="O209" s="35"/>
      <c r="P209" s="35"/>
      <c r="Q209" s="36"/>
      <c r="R209" s="10">
        <f>LEN(M209)</f>
        <v>9</v>
      </c>
      <c r="S209" s="10">
        <f>MOD(R209,2)*4+FLOOR(R209/2,1)*6</f>
        <v>28</v>
      </c>
      <c r="T209" s="12" t="str">
        <f>IF(T208&lt;I207,"有效","无效")</f>
        <v>有效</v>
      </c>
    </row>
    <row r="210" spans="1:20" ht="20" customHeight="1">
      <c r="A210" s="22"/>
      <c r="B210" s="6" t="str">
        <f>IF(H210&lt;=12,"有效","无效")</f>
        <v>有效</v>
      </c>
      <c r="C210" s="34" t="s">
        <v>694</v>
      </c>
      <c r="D210" s="35"/>
      <c r="E210" s="35"/>
      <c r="F210" s="35"/>
      <c r="G210" s="36"/>
      <c r="H210" s="4">
        <f>LEN(C210)</f>
        <v>6</v>
      </c>
      <c r="I210" s="11">
        <f>MOD(H210,2)*4+FLOOR(H210/2,1)*6</f>
        <v>18</v>
      </c>
      <c r="J210" s="12">
        <f>I210+I211</f>
        <v>34</v>
      </c>
      <c r="K210" s="20"/>
      <c r="L210" s="6" t="str">
        <f>IF(R210&lt;=12,"有效","无效")</f>
        <v>有效</v>
      </c>
      <c r="M210" s="34" t="s">
        <v>698</v>
      </c>
      <c r="N210" s="35"/>
      <c r="O210" s="35"/>
      <c r="P210" s="35"/>
      <c r="Q210" s="36"/>
      <c r="R210" s="10">
        <f>LEN(M210)</f>
        <v>6</v>
      </c>
      <c r="S210" s="10">
        <f>MOD(R210,2)*4+FLOOR(R210/2,1)*6</f>
        <v>18</v>
      </c>
      <c r="T210" s="12">
        <f>S210+S211</f>
        <v>36</v>
      </c>
    </row>
    <row r="211" spans="1:20" ht="20" customHeight="1">
      <c r="A211" s="22"/>
      <c r="B211" s="6" t="str">
        <f>IF(H211&lt;=12,"有效","无效")</f>
        <v>有效</v>
      </c>
      <c r="C211" s="34" t="s">
        <v>695</v>
      </c>
      <c r="D211" s="35"/>
      <c r="E211" s="35"/>
      <c r="F211" s="35"/>
      <c r="G211" s="36"/>
      <c r="H211" s="4">
        <f>LEN(C211)</f>
        <v>5</v>
      </c>
      <c r="I211" s="11">
        <f>MOD(H211,2)*4+FLOOR(H211/2,1)*6</f>
        <v>16</v>
      </c>
      <c r="J211" s="12" t="str">
        <f>IF(J210&lt;I207,"有效","无效")</f>
        <v>有效</v>
      </c>
      <c r="K211" s="20"/>
      <c r="L211" s="6" t="str">
        <f>IF(R211&lt;=12,"有效","无效")</f>
        <v>有效</v>
      </c>
      <c r="M211" s="34" t="s">
        <v>699</v>
      </c>
      <c r="N211" s="35"/>
      <c r="O211" s="35"/>
      <c r="P211" s="35"/>
      <c r="Q211" s="36"/>
      <c r="R211" s="10">
        <f>LEN(M211)</f>
        <v>6</v>
      </c>
      <c r="S211" s="10">
        <f>MOD(R211,2)*4+FLOOR(R211/2,1)*6</f>
        <v>18</v>
      </c>
      <c r="T211" s="12" t="str">
        <f>IF(T210&lt;I207,"有效","无效")</f>
        <v>有效</v>
      </c>
    </row>
    <row r="212" spans="1:20" ht="20" customHeight="1">
      <c r="A212" s="22">
        <v>43</v>
      </c>
      <c r="B212" s="23" t="s">
        <v>65</v>
      </c>
      <c r="C212" s="24" t="s">
        <v>66</v>
      </c>
      <c r="D212" s="14">
        <f>LEN($B212)</f>
        <v>3</v>
      </c>
      <c r="E212" s="14">
        <f>LEN(C212)+3</f>
        <v>5</v>
      </c>
      <c r="F212" s="14">
        <f>MOD(D212,2)*4+FLOOR(D212/2,1)*6</f>
        <v>10</v>
      </c>
      <c r="G212" s="14">
        <f>MOD(E212,2)*4+FLOOR(E212/2,1)*6</f>
        <v>16</v>
      </c>
      <c r="H212" s="14">
        <v>12</v>
      </c>
      <c r="I212" s="14">
        <f>108-H212-G212-F212</f>
        <v>70</v>
      </c>
    </row>
    <row r="213" spans="1:20" ht="20" customHeight="1">
      <c r="A213" s="22"/>
      <c r="B213" s="6" t="str">
        <f>IF(H213&lt;=12,"有效","无效")</f>
        <v>有效</v>
      </c>
      <c r="C213" s="31" t="s">
        <v>700</v>
      </c>
      <c r="D213" s="32"/>
      <c r="E213" s="32"/>
      <c r="F213" s="32"/>
      <c r="G213" s="33"/>
      <c r="H213" s="4">
        <f>LEN(C213)</f>
        <v>8</v>
      </c>
      <c r="I213" s="11">
        <f>MOD(H213,2)*4+FLOOR(H213/2,1)*6</f>
        <v>24</v>
      </c>
      <c r="J213" s="12">
        <f>I213+I214</f>
        <v>42</v>
      </c>
      <c r="K213" s="20"/>
      <c r="L213" s="13" t="str">
        <f>IF(R213&lt;=12,"有效","无效")</f>
        <v>有效</v>
      </c>
      <c r="M213" s="32" t="s">
        <v>706</v>
      </c>
      <c r="N213" s="32"/>
      <c r="O213" s="32"/>
      <c r="P213" s="32"/>
      <c r="Q213" s="33"/>
      <c r="R213" s="10">
        <f>LEN(M213)</f>
        <v>4</v>
      </c>
      <c r="S213" s="10">
        <f>MOD(R213,2)*4+FLOOR(R213/2,1)*6</f>
        <v>12</v>
      </c>
      <c r="T213" s="12">
        <f>S213+S214</f>
        <v>34</v>
      </c>
    </row>
    <row r="214" spans="1:20" ht="20" customHeight="1">
      <c r="A214" s="22"/>
      <c r="B214" s="6" t="str">
        <f>IF(H214&lt;=12,"有效","无效")</f>
        <v>有效</v>
      </c>
      <c r="C214" s="31" t="s">
        <v>701</v>
      </c>
      <c r="D214" s="32"/>
      <c r="E214" s="32"/>
      <c r="F214" s="32"/>
      <c r="G214" s="33"/>
      <c r="H214" s="4">
        <f>LEN(C214)</f>
        <v>6</v>
      </c>
      <c r="I214" s="11">
        <f>MOD(H214,2)*4+FLOOR(H214/2,1)*6</f>
        <v>18</v>
      </c>
      <c r="J214" s="12" t="str">
        <f>IF(J213&lt;I212,"有效","无效")</f>
        <v>有效</v>
      </c>
      <c r="K214" s="20"/>
      <c r="L214" s="6" t="str">
        <f>IF(R214&lt;=12,"有效","无效")</f>
        <v>有效</v>
      </c>
      <c r="M214" s="32" t="s">
        <v>707</v>
      </c>
      <c r="N214" s="32"/>
      <c r="O214" s="32"/>
      <c r="P214" s="32"/>
      <c r="Q214" s="33"/>
      <c r="R214" s="10">
        <f>LEN(M214)</f>
        <v>7</v>
      </c>
      <c r="S214" s="10">
        <f>MOD(R214,2)*4+FLOOR(R214/2,1)*6</f>
        <v>22</v>
      </c>
      <c r="T214" s="12" t="str">
        <f>IF(T213&lt;I212,"有效","无效")</f>
        <v>有效</v>
      </c>
    </row>
    <row r="215" spans="1:20" ht="20" customHeight="1">
      <c r="A215" s="22"/>
      <c r="B215" s="6" t="str">
        <f>IF(H215&lt;=12,"有效","无效")</f>
        <v>有效</v>
      </c>
      <c r="C215" s="31" t="s">
        <v>702</v>
      </c>
      <c r="D215" s="32"/>
      <c r="E215" s="32"/>
      <c r="F215" s="32"/>
      <c r="G215" s="33"/>
      <c r="H215" s="4">
        <f>LEN(C215)</f>
        <v>7</v>
      </c>
      <c r="I215" s="11">
        <f>MOD(H215,2)*4+FLOOR(H215/2,1)*6</f>
        <v>22</v>
      </c>
      <c r="J215" s="12">
        <f>I215+I216</f>
        <v>38</v>
      </c>
      <c r="K215" s="20"/>
      <c r="L215" s="6" t="str">
        <f>IF(R215&lt;=12,"有效","无效")</f>
        <v>有效</v>
      </c>
      <c r="M215" s="31" t="s">
        <v>704</v>
      </c>
      <c r="N215" s="32"/>
      <c r="O215" s="32"/>
      <c r="P215" s="32"/>
      <c r="Q215" s="33"/>
      <c r="R215" s="10">
        <f>LEN(M215)</f>
        <v>8</v>
      </c>
      <c r="S215" s="10">
        <f>MOD(R215,2)*4+FLOOR(R215/2,1)*6</f>
        <v>24</v>
      </c>
      <c r="T215" s="12">
        <f>S215+S216</f>
        <v>52</v>
      </c>
    </row>
    <row r="216" spans="1:20" ht="20" customHeight="1">
      <c r="A216" s="22"/>
      <c r="B216" s="6" t="str">
        <f>IF(H216&lt;=12,"有效","无效")</f>
        <v>有效</v>
      </c>
      <c r="C216" s="31" t="s">
        <v>703</v>
      </c>
      <c r="D216" s="32"/>
      <c r="E216" s="32"/>
      <c r="F216" s="32"/>
      <c r="G216" s="33"/>
      <c r="H216" s="4">
        <f>LEN(C216)</f>
        <v>5</v>
      </c>
      <c r="I216" s="11">
        <f>MOD(H216,2)*4+FLOOR(H216/2,1)*6</f>
        <v>16</v>
      </c>
      <c r="J216" s="12" t="str">
        <f>IF(J215&lt;I212,"有效","无效")</f>
        <v>有效</v>
      </c>
      <c r="K216" s="20"/>
      <c r="L216" s="6" t="str">
        <f>IF(R216&lt;=12,"有效","无效")</f>
        <v>有效</v>
      </c>
      <c r="M216" s="31" t="s">
        <v>705</v>
      </c>
      <c r="N216" s="32"/>
      <c r="O216" s="32"/>
      <c r="P216" s="32"/>
      <c r="Q216" s="33"/>
      <c r="R216" s="10">
        <f>LEN(M216)</f>
        <v>9</v>
      </c>
      <c r="S216" s="10">
        <f>MOD(R216,2)*4+FLOOR(R216/2,1)*6</f>
        <v>28</v>
      </c>
      <c r="T216" s="12" t="str">
        <f>IF(T215&lt;I212,"有效","无效")</f>
        <v>有效</v>
      </c>
    </row>
    <row r="217" spans="1:20" ht="20" customHeight="1">
      <c r="A217" s="22">
        <v>44</v>
      </c>
      <c r="B217" s="23" t="s">
        <v>67</v>
      </c>
      <c r="C217" s="24" t="s">
        <v>66</v>
      </c>
      <c r="D217" s="14">
        <f>LEN($B217)</f>
        <v>3</v>
      </c>
      <c r="E217" s="14">
        <f>LEN(C217)+3</f>
        <v>5</v>
      </c>
      <c r="F217" s="14">
        <f>MOD(D217,2)*4+FLOOR(D217/2,1)*6</f>
        <v>10</v>
      </c>
      <c r="G217" s="14">
        <f>MOD(E217,2)*4+FLOOR(E217/2,1)*6</f>
        <v>16</v>
      </c>
      <c r="H217" s="14">
        <v>12</v>
      </c>
      <c r="I217" s="14">
        <f>108-H217-G217-F217</f>
        <v>70</v>
      </c>
    </row>
    <row r="218" spans="1:20" ht="20" customHeight="1">
      <c r="A218" s="22"/>
      <c r="B218" s="6" t="str">
        <f>IF(H218&lt;=12,"有效","无效")</f>
        <v>有效</v>
      </c>
      <c r="C218" s="31" t="s">
        <v>708</v>
      </c>
      <c r="D218" s="32"/>
      <c r="E218" s="32"/>
      <c r="F218" s="32"/>
      <c r="G218" s="33"/>
      <c r="H218" s="4">
        <f>LEN(C218)</f>
        <v>7</v>
      </c>
      <c r="I218" s="11">
        <f>MOD(H218,2)*4+FLOOR(H218/2,1)*6</f>
        <v>22</v>
      </c>
      <c r="J218" s="12">
        <f>I218+I219</f>
        <v>46</v>
      </c>
      <c r="K218" s="20"/>
      <c r="L218" s="13" t="str">
        <f>IF(R218&lt;=12,"有效","无效")</f>
        <v>有效</v>
      </c>
      <c r="M218" s="32" t="s">
        <v>712</v>
      </c>
      <c r="N218" s="32"/>
      <c r="O218" s="32"/>
      <c r="P218" s="32"/>
      <c r="Q218" s="33"/>
      <c r="R218" s="10">
        <f>LEN(M218)</f>
        <v>7</v>
      </c>
      <c r="S218" s="10">
        <f>MOD(R218,2)*4+FLOOR(R218/2,1)*6</f>
        <v>22</v>
      </c>
      <c r="T218" s="12">
        <f>S218+S219</f>
        <v>34</v>
      </c>
    </row>
    <row r="219" spans="1:20" ht="20" customHeight="1">
      <c r="A219" s="22"/>
      <c r="B219" s="6" t="str">
        <f>IF(H219&lt;=12,"有效","无效")</f>
        <v>有效</v>
      </c>
      <c r="C219" s="31" t="s">
        <v>709</v>
      </c>
      <c r="D219" s="32"/>
      <c r="E219" s="32"/>
      <c r="F219" s="32"/>
      <c r="G219" s="33"/>
      <c r="H219" s="4">
        <f>LEN(C219)</f>
        <v>8</v>
      </c>
      <c r="I219" s="11">
        <f>MOD(H219,2)*4+FLOOR(H219/2,1)*6</f>
        <v>24</v>
      </c>
      <c r="J219" s="12" t="str">
        <f>IF(J218&lt;I217,"有效","无效")</f>
        <v>有效</v>
      </c>
      <c r="K219" s="20"/>
      <c r="L219" s="6" t="str">
        <f>IF(R219&lt;=12,"有效","无效")</f>
        <v>有效</v>
      </c>
      <c r="M219" s="31" t="s">
        <v>713</v>
      </c>
      <c r="N219" s="32"/>
      <c r="O219" s="32"/>
      <c r="P219" s="32"/>
      <c r="Q219" s="33"/>
      <c r="R219" s="10">
        <f>LEN(M219)</f>
        <v>4</v>
      </c>
      <c r="S219" s="10">
        <f>MOD(R219,2)*4+FLOOR(R219/2,1)*6</f>
        <v>12</v>
      </c>
      <c r="T219" s="12" t="str">
        <f>IF(T218&lt;I217,"有效","无效")</f>
        <v>有效</v>
      </c>
    </row>
    <row r="220" spans="1:20" ht="20" customHeight="1">
      <c r="A220" s="22"/>
      <c r="B220" s="6" t="str">
        <f>IF(H220&lt;=12,"有效","无效")</f>
        <v>有效</v>
      </c>
      <c r="C220" s="31" t="s">
        <v>710</v>
      </c>
      <c r="D220" s="32"/>
      <c r="E220" s="32"/>
      <c r="F220" s="32"/>
      <c r="G220" s="33"/>
      <c r="H220" s="4">
        <f>LEN(C220)</f>
        <v>5</v>
      </c>
      <c r="I220" s="11">
        <f>MOD(H220,2)*4+FLOOR(H220/2,1)*6</f>
        <v>16</v>
      </c>
      <c r="J220" s="12">
        <f>I220+I221</f>
        <v>50</v>
      </c>
      <c r="K220" s="20"/>
      <c r="L220" s="6" t="str">
        <f>IF(R220&lt;=12,"有效","无效")</f>
        <v>有效</v>
      </c>
      <c r="M220" s="31" t="s">
        <v>714</v>
      </c>
      <c r="N220" s="32"/>
      <c r="O220" s="32"/>
      <c r="P220" s="32"/>
      <c r="Q220" s="33"/>
      <c r="R220" s="10">
        <f>LEN(M220)</f>
        <v>8</v>
      </c>
      <c r="S220" s="10">
        <f>MOD(R220,2)*4+FLOOR(R220/2,1)*6</f>
        <v>24</v>
      </c>
      <c r="T220" s="12">
        <f>S220+S221</f>
        <v>46</v>
      </c>
    </row>
    <row r="221" spans="1:20" ht="20" customHeight="1">
      <c r="A221" s="22"/>
      <c r="B221" s="6" t="str">
        <f>IF(H221&lt;=12,"有效","无效")</f>
        <v>有效</v>
      </c>
      <c r="C221" s="31" t="s">
        <v>711</v>
      </c>
      <c r="D221" s="32"/>
      <c r="E221" s="32"/>
      <c r="F221" s="32"/>
      <c r="G221" s="33"/>
      <c r="H221" s="4">
        <f>LEN(C221)</f>
        <v>11</v>
      </c>
      <c r="I221" s="11">
        <f>MOD(H221,2)*4+FLOOR(H221/2,1)*6</f>
        <v>34</v>
      </c>
      <c r="J221" s="12" t="str">
        <f>IF(J220&lt;I217,"有效","无效")</f>
        <v>有效</v>
      </c>
      <c r="K221" s="20"/>
      <c r="L221" s="6" t="str">
        <f>IF(R221&lt;=12,"有效","无效")</f>
        <v>有效</v>
      </c>
      <c r="M221" s="31" t="s">
        <v>715</v>
      </c>
      <c r="N221" s="32"/>
      <c r="O221" s="32"/>
      <c r="P221" s="32"/>
      <c r="Q221" s="33"/>
      <c r="R221" s="10">
        <f>LEN(M221)</f>
        <v>7</v>
      </c>
      <c r="S221" s="10">
        <f>MOD(R221,2)*4+FLOOR(R221/2,1)*6</f>
        <v>22</v>
      </c>
      <c r="T221" s="12" t="str">
        <f>IF(T220&lt;I217,"有效","无效")</f>
        <v>有效</v>
      </c>
    </row>
    <row r="222" spans="1:20" ht="20" customHeight="1">
      <c r="A222" s="22">
        <v>45</v>
      </c>
      <c r="B222" s="23" t="s">
        <v>68</v>
      </c>
      <c r="C222" s="24" t="s">
        <v>69</v>
      </c>
      <c r="D222" s="14">
        <f>LEN($B222)</f>
        <v>3</v>
      </c>
      <c r="E222" s="14">
        <f>LEN(C222)+3</f>
        <v>4</v>
      </c>
      <c r="F222" s="14">
        <f>MOD(D222,2)*4+FLOOR(D222/2,1)*6</f>
        <v>10</v>
      </c>
      <c r="G222" s="14">
        <f>MOD(E222,2)*4+FLOOR(E222/2,1)*6</f>
        <v>12</v>
      </c>
      <c r="H222" s="14">
        <v>12</v>
      </c>
      <c r="I222" s="14">
        <f>108-H222-G222-F222</f>
        <v>74</v>
      </c>
    </row>
    <row r="223" spans="1:20" ht="20" customHeight="1">
      <c r="A223" s="22"/>
      <c r="B223" s="6" t="str">
        <f>IF(H223&lt;=12,"有效","无效")</f>
        <v>有效</v>
      </c>
      <c r="C223" s="31" t="s">
        <v>716</v>
      </c>
      <c r="D223" s="32"/>
      <c r="E223" s="32"/>
      <c r="F223" s="32"/>
      <c r="G223" s="33"/>
      <c r="H223" s="4">
        <f>LEN(C223)</f>
        <v>12</v>
      </c>
      <c r="I223" s="11">
        <f>MOD(H223,2)*4+FLOOR(H223/2,1)*6</f>
        <v>36</v>
      </c>
      <c r="J223" s="12">
        <f>I223+I224</f>
        <v>52</v>
      </c>
      <c r="K223" s="20"/>
      <c r="L223" s="13" t="str">
        <f>IF(R223&lt;=12,"有效","无效")</f>
        <v>有效</v>
      </c>
      <c r="M223" s="32" t="s">
        <v>720</v>
      </c>
      <c r="N223" s="32"/>
      <c r="O223" s="32"/>
      <c r="P223" s="32"/>
      <c r="Q223" s="33"/>
      <c r="R223" s="10">
        <f>LEN(M223)</f>
        <v>8</v>
      </c>
      <c r="S223" s="10">
        <f>MOD(R223,2)*4+FLOOR(R223/2,1)*6</f>
        <v>24</v>
      </c>
      <c r="T223" s="12">
        <f>S223+S224</f>
        <v>46</v>
      </c>
    </row>
    <row r="224" spans="1:20" ht="20" customHeight="1">
      <c r="A224" s="22"/>
      <c r="B224" s="6" t="str">
        <f>IF(H224&lt;=12,"有效","无效")</f>
        <v>有效</v>
      </c>
      <c r="C224" s="31" t="s">
        <v>717</v>
      </c>
      <c r="D224" s="32"/>
      <c r="E224" s="32"/>
      <c r="F224" s="32"/>
      <c r="G224" s="33"/>
      <c r="H224" s="4">
        <f>LEN(C224)</f>
        <v>5</v>
      </c>
      <c r="I224" s="11">
        <f>MOD(H224,2)*4+FLOOR(H224/2,1)*6</f>
        <v>16</v>
      </c>
      <c r="J224" s="12" t="str">
        <f>IF(J223&lt;I222,"有效","无效")</f>
        <v>有效</v>
      </c>
      <c r="K224" s="20"/>
      <c r="L224" s="6" t="str">
        <f>IF(R224&lt;=12,"有效","无效")</f>
        <v>有效</v>
      </c>
      <c r="M224" s="31" t="s">
        <v>721</v>
      </c>
      <c r="N224" s="32"/>
      <c r="O224" s="32"/>
      <c r="P224" s="32"/>
      <c r="Q224" s="33"/>
      <c r="R224" s="10">
        <f>LEN(M224)</f>
        <v>7</v>
      </c>
      <c r="S224" s="10">
        <f>MOD(R224,2)*4+FLOOR(R224/2,1)*6</f>
        <v>22</v>
      </c>
      <c r="T224" s="12" t="str">
        <f>IF(T223&lt;I222,"有效","无效")</f>
        <v>有效</v>
      </c>
    </row>
    <row r="225" spans="1:20" ht="20" customHeight="1">
      <c r="A225" s="22"/>
      <c r="B225" s="6" t="str">
        <f>IF(H225&lt;=12,"有效","无效")</f>
        <v>有效</v>
      </c>
      <c r="C225" s="31" t="s">
        <v>718</v>
      </c>
      <c r="D225" s="32"/>
      <c r="E225" s="32"/>
      <c r="F225" s="32"/>
      <c r="G225" s="33"/>
      <c r="H225" s="4">
        <f>LEN(C225)</f>
        <v>9</v>
      </c>
      <c r="I225" s="11">
        <f>MOD(H225,2)*4+FLOOR(H225/2,1)*6</f>
        <v>28</v>
      </c>
      <c r="J225" s="12">
        <f>I225+I226</f>
        <v>62</v>
      </c>
      <c r="K225" s="20"/>
      <c r="L225" s="6" t="str">
        <f>IF(R225&lt;=12,"有效","无效")</f>
        <v>有效</v>
      </c>
      <c r="M225" s="31" t="s">
        <v>722</v>
      </c>
      <c r="N225" s="32"/>
      <c r="O225" s="32"/>
      <c r="P225" s="32"/>
      <c r="Q225" s="33"/>
      <c r="R225" s="10">
        <f>LEN(M225)</f>
        <v>6</v>
      </c>
      <c r="S225" s="10">
        <f>MOD(R225,2)*4+FLOOR(R225/2,1)*6</f>
        <v>18</v>
      </c>
      <c r="T225" s="12">
        <f>S225+S226</f>
        <v>48</v>
      </c>
    </row>
    <row r="226" spans="1:20" ht="20" customHeight="1">
      <c r="A226" s="22"/>
      <c r="B226" s="6" t="str">
        <f>IF(H226&lt;=12,"有效","无效")</f>
        <v>有效</v>
      </c>
      <c r="C226" s="31" t="s">
        <v>719</v>
      </c>
      <c r="D226" s="32"/>
      <c r="E226" s="32"/>
      <c r="F226" s="32"/>
      <c r="G226" s="33"/>
      <c r="H226" s="4">
        <f>LEN(C226)</f>
        <v>11</v>
      </c>
      <c r="I226" s="11">
        <f>MOD(H226,2)*4+FLOOR(H226/2,1)*6</f>
        <v>34</v>
      </c>
      <c r="J226" s="12" t="str">
        <f>IF(J225&lt;I222,"有效","无效")</f>
        <v>有效</v>
      </c>
      <c r="K226" s="20"/>
      <c r="L226" s="6" t="str">
        <f>IF(R226&lt;=12,"有效","无效")</f>
        <v>有效</v>
      </c>
      <c r="M226" s="31" t="s">
        <v>723</v>
      </c>
      <c r="N226" s="32"/>
      <c r="O226" s="32"/>
      <c r="P226" s="32"/>
      <c r="Q226" s="33"/>
      <c r="R226" s="10">
        <f>LEN(M226)</f>
        <v>10</v>
      </c>
      <c r="S226" s="10">
        <f>MOD(R226,2)*4+FLOOR(R226/2,1)*6</f>
        <v>30</v>
      </c>
      <c r="T226" s="12" t="str">
        <f>IF(T225&lt;I222,"有效","无效")</f>
        <v>有效</v>
      </c>
    </row>
    <row r="227" spans="1:20" ht="20" customHeight="1">
      <c r="A227" s="22">
        <v>46</v>
      </c>
      <c r="B227" s="23" t="s">
        <v>70</v>
      </c>
      <c r="C227" s="24" t="s">
        <v>71</v>
      </c>
      <c r="D227" s="14">
        <f>LEN($B227)</f>
        <v>3</v>
      </c>
      <c r="E227" s="14">
        <f>LEN(C227)+3</f>
        <v>5</v>
      </c>
      <c r="F227" s="14">
        <f>MOD(D227,2)*4+FLOOR(D227/2,1)*6</f>
        <v>10</v>
      </c>
      <c r="G227" s="14">
        <f>MOD(E227,2)*4+FLOOR(E227/2,1)*6</f>
        <v>16</v>
      </c>
      <c r="H227" s="14">
        <v>12</v>
      </c>
      <c r="I227" s="14">
        <f>108-H227-G227-F227</f>
        <v>70</v>
      </c>
    </row>
    <row r="228" spans="1:20" ht="20" customHeight="1">
      <c r="A228" s="22"/>
      <c r="B228" s="6" t="str">
        <f>IF(H228&lt;=12,"有效","无效")</f>
        <v>有效</v>
      </c>
      <c r="C228" s="34" t="s">
        <v>2406</v>
      </c>
      <c r="D228" s="35"/>
      <c r="E228" s="35"/>
      <c r="F228" s="35"/>
      <c r="G228" s="36"/>
      <c r="H228" s="4">
        <f>LEN(C228)</f>
        <v>7</v>
      </c>
      <c r="I228" s="11">
        <f>MOD(H228,2)*4+FLOOR(H228/2,1)*6</f>
        <v>22</v>
      </c>
      <c r="J228" s="12">
        <f>I228+I229</f>
        <v>50</v>
      </c>
      <c r="K228" s="20"/>
      <c r="L228" s="13" t="str">
        <f>IF(R228&lt;=12,"有效","无效")</f>
        <v>有效</v>
      </c>
      <c r="M228" s="35" t="s">
        <v>2279</v>
      </c>
      <c r="N228" s="35"/>
      <c r="O228" s="35"/>
      <c r="P228" s="35"/>
      <c r="Q228" s="36"/>
      <c r="R228" s="10">
        <f>LEN(M228)</f>
        <v>2</v>
      </c>
      <c r="S228" s="10">
        <f>MOD(R228,2)*4+FLOOR(R228/2,1)*6</f>
        <v>6</v>
      </c>
      <c r="T228" s="12">
        <f>S228+S229</f>
        <v>18</v>
      </c>
    </row>
    <row r="229" spans="1:20" ht="20" customHeight="1">
      <c r="A229" s="22"/>
      <c r="B229" s="6" t="str">
        <f>IF(H229&lt;=12,"有效","无效")</f>
        <v>有效</v>
      </c>
      <c r="C229" s="34" t="s">
        <v>726</v>
      </c>
      <c r="D229" s="35"/>
      <c r="E229" s="35"/>
      <c r="F229" s="35"/>
      <c r="G229" s="36"/>
      <c r="H229" s="4">
        <f>LEN(C229)</f>
        <v>9</v>
      </c>
      <c r="I229" s="11">
        <f>MOD(H229,2)*4+FLOOR(H229/2,1)*6</f>
        <v>28</v>
      </c>
      <c r="J229" s="12" t="str">
        <f>IF(J228&lt;I227,"有效","无效")</f>
        <v>有效</v>
      </c>
      <c r="K229" s="20"/>
      <c r="L229" s="6" t="str">
        <f>IF(R229&lt;=12,"有效","无效")</f>
        <v>有效</v>
      </c>
      <c r="M229" s="34" t="s">
        <v>2280</v>
      </c>
      <c r="N229" s="35"/>
      <c r="O229" s="35"/>
      <c r="P229" s="35"/>
      <c r="Q229" s="36"/>
      <c r="R229" s="10">
        <f>LEN(M229)</f>
        <v>4</v>
      </c>
      <c r="S229" s="10">
        <f>MOD(R229,2)*4+FLOOR(R229/2,1)*6</f>
        <v>12</v>
      </c>
      <c r="T229" s="12" t="str">
        <f>IF(T228&lt;I227,"有效","无效")</f>
        <v>有效</v>
      </c>
    </row>
    <row r="230" spans="1:20" ht="20" customHeight="1">
      <c r="A230" s="22"/>
      <c r="B230" s="6" t="str">
        <f>IF(H230&lt;=12,"有效","无效")</f>
        <v>有效</v>
      </c>
      <c r="C230" s="34" t="s">
        <v>724</v>
      </c>
      <c r="D230" s="35"/>
      <c r="E230" s="35"/>
      <c r="F230" s="35"/>
      <c r="G230" s="36"/>
      <c r="H230" s="4">
        <f>LEN(C230)</f>
        <v>6</v>
      </c>
      <c r="I230" s="11">
        <f>MOD(H230,2)*4+FLOOR(H230/2,1)*6</f>
        <v>18</v>
      </c>
      <c r="J230" s="12">
        <f>I230+I231</f>
        <v>48</v>
      </c>
      <c r="K230" s="20"/>
      <c r="L230" s="6" t="str">
        <f>IF(R230&lt;=12,"有效","无效")</f>
        <v>有效</v>
      </c>
      <c r="M230" s="34" t="s">
        <v>2277</v>
      </c>
      <c r="N230" s="35"/>
      <c r="O230" s="35"/>
      <c r="P230" s="35"/>
      <c r="Q230" s="36"/>
      <c r="R230" s="10">
        <f>LEN(M230)</f>
        <v>9</v>
      </c>
      <c r="S230" s="10">
        <f>MOD(R230,2)*4+FLOOR(R230/2,1)*6</f>
        <v>28</v>
      </c>
      <c r="T230" s="12">
        <f>S230+S231</f>
        <v>52</v>
      </c>
    </row>
    <row r="231" spans="1:20" ht="20" customHeight="1">
      <c r="A231" s="22"/>
      <c r="B231" s="6" t="str">
        <f>IF(H231&lt;=12,"有效","无效")</f>
        <v>有效</v>
      </c>
      <c r="C231" s="34" t="s">
        <v>725</v>
      </c>
      <c r="D231" s="35"/>
      <c r="E231" s="35"/>
      <c r="F231" s="35"/>
      <c r="G231" s="36"/>
      <c r="H231" s="4">
        <f>LEN(C231)</f>
        <v>10</v>
      </c>
      <c r="I231" s="11">
        <f>MOD(H231,2)*4+FLOOR(H231/2,1)*6</f>
        <v>30</v>
      </c>
      <c r="J231" s="12" t="str">
        <f>IF(J230&lt;I227,"有效","无效")</f>
        <v>有效</v>
      </c>
      <c r="K231" s="20"/>
      <c r="L231" s="6" t="str">
        <f>IF(R231&lt;=12,"有效","无效")</f>
        <v>有效</v>
      </c>
      <c r="M231" s="34" t="s">
        <v>2278</v>
      </c>
      <c r="N231" s="35"/>
      <c r="O231" s="35"/>
      <c r="P231" s="35"/>
      <c r="Q231" s="36"/>
      <c r="R231" s="10">
        <f>LEN(M231)</f>
        <v>8</v>
      </c>
      <c r="S231" s="10">
        <f>MOD(R231,2)*4+FLOOR(R231/2,1)*6</f>
        <v>24</v>
      </c>
      <c r="T231" s="12" t="str">
        <f>IF(T230&lt;I227,"有效","无效")</f>
        <v>有效</v>
      </c>
    </row>
    <row r="232" spans="1:20" ht="20" customHeight="1">
      <c r="A232" s="22">
        <v>47</v>
      </c>
      <c r="B232" s="23" t="s">
        <v>72</v>
      </c>
      <c r="C232" s="24" t="s">
        <v>71</v>
      </c>
      <c r="D232" s="14">
        <f>LEN($B232)</f>
        <v>4</v>
      </c>
      <c r="E232" s="14">
        <f>LEN(C232)+3</f>
        <v>5</v>
      </c>
      <c r="F232" s="14">
        <f>MOD(D232,2)*4+FLOOR(D232/2,1)*6</f>
        <v>12</v>
      </c>
      <c r="G232" s="14">
        <f>MOD(E232,2)*4+FLOOR(E232/2,1)*6</f>
        <v>16</v>
      </c>
      <c r="H232" s="14">
        <v>12</v>
      </c>
      <c r="I232" s="14">
        <f>108-H232-G232-F232</f>
        <v>68</v>
      </c>
    </row>
    <row r="233" spans="1:20" ht="20" customHeight="1">
      <c r="A233" s="22"/>
      <c r="B233" s="6" t="str">
        <f>IF(H233&lt;=12,"有效","无效")</f>
        <v>有效</v>
      </c>
      <c r="C233" s="34" t="s">
        <v>727</v>
      </c>
      <c r="D233" s="35"/>
      <c r="E233" s="35"/>
      <c r="F233" s="35"/>
      <c r="G233" s="36"/>
      <c r="H233" s="4">
        <f>LEN(C233)</f>
        <v>10</v>
      </c>
      <c r="I233" s="11">
        <f>MOD(H233,2)*4+FLOOR(H233/2,1)*6</f>
        <v>30</v>
      </c>
      <c r="J233" s="12">
        <f>I233+I234</f>
        <v>58</v>
      </c>
      <c r="K233" s="20"/>
      <c r="L233" s="13" t="str">
        <f>IF(R233&lt;=12,"有效","无效")</f>
        <v>有效</v>
      </c>
      <c r="M233" s="32" t="s">
        <v>729</v>
      </c>
      <c r="N233" s="32"/>
      <c r="O233" s="32"/>
      <c r="P233" s="32"/>
      <c r="Q233" s="33"/>
      <c r="R233" s="10">
        <f>LEN(M233)</f>
        <v>5</v>
      </c>
      <c r="S233" s="10">
        <f>MOD(R233,2)*4+FLOOR(R233/2,1)*6</f>
        <v>16</v>
      </c>
      <c r="T233" s="12">
        <f>S233+S234</f>
        <v>32</v>
      </c>
    </row>
    <row r="234" spans="1:20" ht="20" customHeight="1">
      <c r="A234" s="22"/>
      <c r="B234" s="6" t="str">
        <f>IF(H234&lt;=12,"有效","无效")</f>
        <v>有效</v>
      </c>
      <c r="C234" s="34" t="s">
        <v>728</v>
      </c>
      <c r="D234" s="35"/>
      <c r="E234" s="35"/>
      <c r="F234" s="35"/>
      <c r="G234" s="36"/>
      <c r="H234" s="4">
        <f>LEN(C234)</f>
        <v>9</v>
      </c>
      <c r="I234" s="11">
        <f>MOD(H234,2)*4+FLOOR(H234/2,1)*6</f>
        <v>28</v>
      </c>
      <c r="J234" s="12" t="str">
        <f>IF(J233&lt;I232,"有效","无效")</f>
        <v>有效</v>
      </c>
      <c r="K234" s="20"/>
      <c r="L234" s="6" t="str">
        <f>IF(R234&lt;=12,"有效","无效")</f>
        <v>有效</v>
      </c>
      <c r="M234" s="31" t="s">
        <v>730</v>
      </c>
      <c r="N234" s="32"/>
      <c r="O234" s="32"/>
      <c r="P234" s="32"/>
      <c r="Q234" s="33"/>
      <c r="R234" s="10">
        <f>LEN(M234)</f>
        <v>5</v>
      </c>
      <c r="S234" s="10">
        <f>MOD(R234,2)*4+FLOOR(R234/2,1)*6</f>
        <v>16</v>
      </c>
      <c r="T234" s="12" t="str">
        <f>IF(T233&lt;I232,"有效","无效")</f>
        <v>有效</v>
      </c>
    </row>
    <row r="235" spans="1:20" ht="20" customHeight="1">
      <c r="A235" s="22"/>
      <c r="B235" s="6" t="str">
        <f>IF(H235&lt;=12,"有效","无效")</f>
        <v>有效</v>
      </c>
      <c r="C235" s="34" t="s">
        <v>734</v>
      </c>
      <c r="D235" s="35"/>
      <c r="E235" s="35"/>
      <c r="F235" s="35"/>
      <c r="G235" s="36"/>
      <c r="H235" s="4">
        <f>LEN(C235)</f>
        <v>8</v>
      </c>
      <c r="I235" s="11">
        <f>MOD(H235,2)*4+FLOOR(H235/2,1)*6</f>
        <v>24</v>
      </c>
      <c r="J235" s="12">
        <f>I235+I236</f>
        <v>42</v>
      </c>
      <c r="K235" s="20"/>
      <c r="L235" s="6" t="str">
        <f>IF(R235&lt;=12,"有效","无效")</f>
        <v>有效</v>
      </c>
      <c r="M235" s="31" t="s">
        <v>731</v>
      </c>
      <c r="N235" s="32"/>
      <c r="O235" s="32"/>
      <c r="P235" s="32"/>
      <c r="Q235" s="33"/>
      <c r="R235" s="10">
        <f>LEN(M235)</f>
        <v>9</v>
      </c>
      <c r="S235" s="10">
        <f>MOD(R235,2)*4+FLOOR(R235/2,1)*6</f>
        <v>28</v>
      </c>
      <c r="T235" s="12">
        <f>S235+S236</f>
        <v>50</v>
      </c>
    </row>
    <row r="236" spans="1:20" ht="20" customHeight="1">
      <c r="A236" s="22"/>
      <c r="B236" s="6" t="str">
        <f>IF(H236&lt;=12,"有效","无效")</f>
        <v>有效</v>
      </c>
      <c r="C236" s="34" t="s">
        <v>733</v>
      </c>
      <c r="D236" s="35"/>
      <c r="E236" s="35"/>
      <c r="F236" s="35"/>
      <c r="G236" s="36"/>
      <c r="H236" s="4">
        <f>LEN(C236)</f>
        <v>6</v>
      </c>
      <c r="I236" s="11">
        <f>MOD(H236,2)*4+FLOOR(H236/2,1)*6</f>
        <v>18</v>
      </c>
      <c r="J236" s="12" t="str">
        <f>IF(J235&lt;I232,"有效","无效")</f>
        <v>有效</v>
      </c>
      <c r="K236" s="20"/>
      <c r="L236" s="6" t="str">
        <f>IF(R236&lt;=12,"有效","无效")</f>
        <v>有效</v>
      </c>
      <c r="M236" s="31" t="s">
        <v>732</v>
      </c>
      <c r="N236" s="32"/>
      <c r="O236" s="32"/>
      <c r="P236" s="32"/>
      <c r="Q236" s="33"/>
      <c r="R236" s="10">
        <f>LEN(M236)</f>
        <v>7</v>
      </c>
      <c r="S236" s="10">
        <f>MOD(R236,2)*4+FLOOR(R236/2,1)*6</f>
        <v>22</v>
      </c>
      <c r="T236" s="12" t="str">
        <f>IF(T235&lt;I232,"有效","无效")</f>
        <v>有效</v>
      </c>
    </row>
    <row r="237" spans="1:20" ht="20" customHeight="1">
      <c r="A237" s="22">
        <v>48</v>
      </c>
      <c r="B237" s="23" t="s">
        <v>73</v>
      </c>
      <c r="C237" s="24" t="s">
        <v>74</v>
      </c>
      <c r="D237" s="14">
        <f>LEN($B237)</f>
        <v>2</v>
      </c>
      <c r="E237" s="14">
        <f>LEN(C237)+3</f>
        <v>5</v>
      </c>
      <c r="F237" s="14">
        <f>MOD(D237,2)*4+FLOOR(D237/2,1)*6</f>
        <v>6</v>
      </c>
      <c r="G237" s="14">
        <f>MOD(E237,2)*4+FLOOR(E237/2,1)*6</f>
        <v>16</v>
      </c>
      <c r="H237" s="14">
        <v>12</v>
      </c>
      <c r="I237" s="14">
        <f>108-H237-G237-F237</f>
        <v>74</v>
      </c>
    </row>
    <row r="238" spans="1:20" ht="20" customHeight="1">
      <c r="A238" s="22"/>
      <c r="B238" s="6" t="str">
        <f>IF(H238&lt;=12,"有效","无效")</f>
        <v>有效</v>
      </c>
      <c r="C238" s="34" t="s">
        <v>739</v>
      </c>
      <c r="D238" s="35"/>
      <c r="E238" s="35"/>
      <c r="F238" s="35"/>
      <c r="G238" s="36"/>
      <c r="H238" s="4">
        <f>LEN(C238)</f>
        <v>5</v>
      </c>
      <c r="I238" s="11">
        <f>MOD(H238,2)*4+FLOOR(H238/2,1)*6</f>
        <v>16</v>
      </c>
      <c r="J238" s="12">
        <f>I238+I239</f>
        <v>32</v>
      </c>
      <c r="K238" s="20"/>
      <c r="L238" s="13" t="str">
        <f>IF(R238&lt;=12,"有效","无效")</f>
        <v>有效</v>
      </c>
      <c r="M238" s="40" t="s">
        <v>735</v>
      </c>
      <c r="N238" s="40"/>
      <c r="O238" s="40"/>
      <c r="P238" s="40"/>
      <c r="Q238" s="41"/>
      <c r="R238" s="10">
        <f>LEN(M238)</f>
        <v>6</v>
      </c>
      <c r="S238" s="10">
        <f>MOD(R238,2)*4+FLOOR(R238/2,1)*6</f>
        <v>18</v>
      </c>
      <c r="T238" s="12">
        <f>S238+S239</f>
        <v>34</v>
      </c>
    </row>
    <row r="239" spans="1:20" ht="20" customHeight="1">
      <c r="A239" s="22"/>
      <c r="B239" s="6" t="str">
        <f>IF(H239&lt;=12,"有效","无效")</f>
        <v>有效</v>
      </c>
      <c r="C239" s="34" t="s">
        <v>740</v>
      </c>
      <c r="D239" s="35"/>
      <c r="E239" s="35"/>
      <c r="F239" s="35"/>
      <c r="G239" s="36"/>
      <c r="H239" s="4">
        <f>LEN(C239)</f>
        <v>5</v>
      </c>
      <c r="I239" s="11">
        <f>MOD(H239,2)*4+FLOOR(H239/2,1)*6</f>
        <v>16</v>
      </c>
      <c r="J239" s="12" t="str">
        <f>IF(J238&lt;I237,"有效","无效")</f>
        <v>有效</v>
      </c>
      <c r="K239" s="20"/>
      <c r="L239" s="6" t="str">
        <f>IF(R239&lt;=12,"有效","无效")</f>
        <v>有效</v>
      </c>
      <c r="M239" s="39" t="s">
        <v>736</v>
      </c>
      <c r="N239" s="40"/>
      <c r="O239" s="40"/>
      <c r="P239" s="40"/>
      <c r="Q239" s="41"/>
      <c r="R239" s="10">
        <f>LEN(M239)</f>
        <v>5</v>
      </c>
      <c r="S239" s="10">
        <f>MOD(R239,2)*4+FLOOR(R239/2,1)*6</f>
        <v>16</v>
      </c>
      <c r="T239" s="12" t="str">
        <f>IF(T238&lt;I237,"有效","无效")</f>
        <v>有效</v>
      </c>
    </row>
    <row r="240" spans="1:20" ht="20" customHeight="1">
      <c r="A240" s="22"/>
      <c r="B240" s="6" t="str">
        <f>IF(H240&lt;=12,"有效","无效")</f>
        <v>有效</v>
      </c>
      <c r="C240" s="34" t="s">
        <v>741</v>
      </c>
      <c r="D240" s="35"/>
      <c r="E240" s="35"/>
      <c r="F240" s="35"/>
      <c r="G240" s="36"/>
      <c r="H240" s="4">
        <f>LEN(C240)</f>
        <v>9</v>
      </c>
      <c r="I240" s="11">
        <f>MOD(H240,2)*4+FLOOR(H240/2,1)*6</f>
        <v>28</v>
      </c>
      <c r="J240" s="12">
        <f>I240+I241</f>
        <v>46</v>
      </c>
      <c r="K240" s="20"/>
      <c r="L240" s="6" t="str">
        <f>IF(R240&lt;=12,"有效","无效")</f>
        <v>有效</v>
      </c>
      <c r="M240" s="39" t="s">
        <v>737</v>
      </c>
      <c r="N240" s="40"/>
      <c r="O240" s="40"/>
      <c r="P240" s="40"/>
      <c r="Q240" s="41"/>
      <c r="R240" s="10">
        <f>LEN(M240)</f>
        <v>7</v>
      </c>
      <c r="S240" s="10">
        <f>MOD(R240,2)*4+FLOOR(R240/2,1)*6</f>
        <v>22</v>
      </c>
      <c r="T240" s="12">
        <f>S240+S241</f>
        <v>58</v>
      </c>
    </row>
    <row r="241" spans="1:20" ht="20" customHeight="1">
      <c r="A241" s="22"/>
      <c r="B241" s="6" t="str">
        <f>IF(H241&lt;=12,"有效","无效")</f>
        <v>有效</v>
      </c>
      <c r="C241" s="34" t="s">
        <v>742</v>
      </c>
      <c r="D241" s="35"/>
      <c r="E241" s="35"/>
      <c r="F241" s="35"/>
      <c r="G241" s="36"/>
      <c r="H241" s="4">
        <f>LEN(C241)</f>
        <v>6</v>
      </c>
      <c r="I241" s="11">
        <f>MOD(H241,2)*4+FLOOR(H241/2,1)*6</f>
        <v>18</v>
      </c>
      <c r="J241" s="12" t="str">
        <f>IF(J240&lt;I237,"有效","无效")</f>
        <v>有效</v>
      </c>
      <c r="K241" s="20"/>
      <c r="L241" s="6" t="str">
        <f>IF(R241&lt;=12,"有效","无效")</f>
        <v>有效</v>
      </c>
      <c r="M241" s="39" t="s">
        <v>738</v>
      </c>
      <c r="N241" s="40"/>
      <c r="O241" s="40"/>
      <c r="P241" s="40"/>
      <c r="Q241" s="41"/>
      <c r="R241" s="10">
        <f>LEN(M241)</f>
        <v>12</v>
      </c>
      <c r="S241" s="10">
        <f>MOD(R241,2)*4+FLOOR(R241/2,1)*6</f>
        <v>36</v>
      </c>
      <c r="T241" s="12" t="str">
        <f>IF(T240&lt;I237,"有效","无效")</f>
        <v>有效</v>
      </c>
    </row>
    <row r="242" spans="1:20" ht="20" customHeight="1">
      <c r="A242" s="22">
        <v>49</v>
      </c>
      <c r="B242" s="23" t="s">
        <v>75</v>
      </c>
      <c r="C242" s="24" t="s">
        <v>76</v>
      </c>
      <c r="D242" s="14">
        <f>LEN($B242)</f>
        <v>3</v>
      </c>
      <c r="E242" s="14">
        <f>LEN(C242)+3</f>
        <v>5</v>
      </c>
      <c r="F242" s="14">
        <f>MOD(D242,2)*4+FLOOR(D242/2,1)*6</f>
        <v>10</v>
      </c>
      <c r="G242" s="14">
        <f>MOD(E242,2)*4+FLOOR(E242/2,1)*6</f>
        <v>16</v>
      </c>
      <c r="H242" s="14">
        <v>12</v>
      </c>
      <c r="I242" s="14">
        <f>108-H242-G242-F242</f>
        <v>70</v>
      </c>
    </row>
    <row r="243" spans="1:20" ht="20" customHeight="1">
      <c r="A243" s="22"/>
      <c r="B243" s="6" t="str">
        <f>IF(H243&lt;=12,"有效","无效")</f>
        <v>有效</v>
      </c>
      <c r="C243" s="31" t="s">
        <v>747</v>
      </c>
      <c r="D243" s="32"/>
      <c r="E243" s="32"/>
      <c r="F243" s="32"/>
      <c r="G243" s="33"/>
      <c r="H243" s="4">
        <f>LEN(C243)</f>
        <v>6</v>
      </c>
      <c r="I243" s="11">
        <f>MOD(H243,2)*4+FLOOR(H243/2,1)*6</f>
        <v>18</v>
      </c>
      <c r="J243" s="12">
        <f>I243+I244</f>
        <v>36</v>
      </c>
      <c r="K243" s="20"/>
      <c r="L243" s="13" t="str">
        <f>IF(R243&lt;=12,"有效","无效")</f>
        <v>有效</v>
      </c>
      <c r="M243" s="35" t="s">
        <v>743</v>
      </c>
      <c r="N243" s="35"/>
      <c r="O243" s="35"/>
      <c r="P243" s="35"/>
      <c r="Q243" s="36"/>
      <c r="R243" s="10">
        <f>LEN(M243)</f>
        <v>7</v>
      </c>
      <c r="S243" s="10">
        <f>MOD(R243,2)*4+FLOOR(R243/2,1)*6</f>
        <v>22</v>
      </c>
      <c r="T243" s="12">
        <f>S243+S244</f>
        <v>50</v>
      </c>
    </row>
    <row r="244" spans="1:20" ht="20" customHeight="1">
      <c r="A244" s="22"/>
      <c r="B244" s="6" t="str">
        <f>IF(H244&lt;=12,"有效","无效")</f>
        <v>有效</v>
      </c>
      <c r="C244" s="31" t="s">
        <v>748</v>
      </c>
      <c r="D244" s="32"/>
      <c r="E244" s="32"/>
      <c r="F244" s="32"/>
      <c r="G244" s="33"/>
      <c r="H244" s="4">
        <f>LEN(C244)</f>
        <v>6</v>
      </c>
      <c r="I244" s="11">
        <f>MOD(H244,2)*4+FLOOR(H244/2,1)*6</f>
        <v>18</v>
      </c>
      <c r="J244" s="12" t="str">
        <f>IF(J243&lt;I242,"有效","无效")</f>
        <v>有效</v>
      </c>
      <c r="K244" s="20"/>
      <c r="L244" s="6" t="str">
        <f>IF(R244&lt;=12,"有效","无效")</f>
        <v>有效</v>
      </c>
      <c r="M244" s="34" t="s">
        <v>745</v>
      </c>
      <c r="N244" s="35"/>
      <c r="O244" s="35"/>
      <c r="P244" s="35"/>
      <c r="Q244" s="36"/>
      <c r="R244" s="10">
        <f>LEN(M244)</f>
        <v>9</v>
      </c>
      <c r="S244" s="10">
        <f>MOD(R244,2)*4+FLOOR(R244/2,1)*6</f>
        <v>28</v>
      </c>
      <c r="T244" s="12" t="str">
        <f>IF(T243&lt;I242,"有效","无效")</f>
        <v>有效</v>
      </c>
    </row>
    <row r="245" spans="1:20" ht="20" customHeight="1">
      <c r="A245" s="22"/>
      <c r="B245" s="6" t="str">
        <f>IF(H245&lt;=12,"有效","无效")</f>
        <v>有效</v>
      </c>
      <c r="C245" s="31" t="s">
        <v>749</v>
      </c>
      <c r="D245" s="32"/>
      <c r="E245" s="32"/>
      <c r="F245" s="32"/>
      <c r="G245" s="33"/>
      <c r="H245" s="4">
        <f>LEN(C245)</f>
        <v>6</v>
      </c>
      <c r="I245" s="11">
        <f>MOD(H245,2)*4+FLOOR(H245/2,1)*6</f>
        <v>18</v>
      </c>
      <c r="J245" s="12">
        <f>I245+I246</f>
        <v>36</v>
      </c>
      <c r="K245" s="20"/>
      <c r="L245" s="6" t="str">
        <f>IF(R245&lt;=12,"有效","无效")</f>
        <v>有效</v>
      </c>
      <c r="M245" s="34" t="s">
        <v>746</v>
      </c>
      <c r="N245" s="35"/>
      <c r="O245" s="35"/>
      <c r="P245" s="35"/>
      <c r="Q245" s="36"/>
      <c r="R245" s="10">
        <f>LEN(M245)</f>
        <v>10</v>
      </c>
      <c r="S245" s="10">
        <f>MOD(R245,2)*4+FLOOR(R245/2,1)*6</f>
        <v>30</v>
      </c>
      <c r="T245" s="12">
        <f>S245+S246</f>
        <v>60</v>
      </c>
    </row>
    <row r="246" spans="1:20" ht="20" customHeight="1">
      <c r="A246" s="22"/>
      <c r="B246" s="6" t="str">
        <f>IF(H246&lt;=12,"有效","无效")</f>
        <v>有效</v>
      </c>
      <c r="C246" s="31" t="s">
        <v>750</v>
      </c>
      <c r="D246" s="32"/>
      <c r="E246" s="32"/>
      <c r="F246" s="32"/>
      <c r="G246" s="33"/>
      <c r="H246" s="4">
        <f>LEN(C246)</f>
        <v>6</v>
      </c>
      <c r="I246" s="11">
        <f>MOD(H246,2)*4+FLOOR(H246/2,1)*6</f>
        <v>18</v>
      </c>
      <c r="J246" s="12" t="str">
        <f>IF(J245&lt;I242,"有效","无效")</f>
        <v>有效</v>
      </c>
      <c r="K246" s="20"/>
      <c r="L246" s="6" t="str">
        <f>IF(R246&lt;=12,"有效","无效")</f>
        <v>有效</v>
      </c>
      <c r="M246" s="34" t="s">
        <v>744</v>
      </c>
      <c r="N246" s="35"/>
      <c r="O246" s="35"/>
      <c r="P246" s="35"/>
      <c r="Q246" s="36"/>
      <c r="R246" s="10">
        <f>LEN(M246)</f>
        <v>10</v>
      </c>
      <c r="S246" s="10">
        <f>MOD(R246,2)*4+FLOOR(R246/2,1)*6</f>
        <v>30</v>
      </c>
      <c r="T246" s="12" t="str">
        <f>IF(T245&lt;I242,"有效","无效")</f>
        <v>有效</v>
      </c>
    </row>
    <row r="247" spans="1:20" ht="20" customHeight="1">
      <c r="A247" s="22">
        <v>50</v>
      </c>
      <c r="B247" s="23" t="s">
        <v>77</v>
      </c>
      <c r="C247" s="24" t="s">
        <v>78</v>
      </c>
      <c r="D247" s="14">
        <f>LEN($B247)</f>
        <v>2</v>
      </c>
      <c r="E247" s="14">
        <f>LEN(C247)+3</f>
        <v>5</v>
      </c>
      <c r="F247" s="14">
        <f>MOD(D247,2)*4+FLOOR(D247/2,1)*6</f>
        <v>6</v>
      </c>
      <c r="G247" s="14">
        <f>MOD(E247,2)*4+FLOOR(E247/2,1)*6</f>
        <v>16</v>
      </c>
      <c r="H247" s="14">
        <v>12</v>
      </c>
      <c r="I247" s="14">
        <f>108-H247-G247-F247</f>
        <v>74</v>
      </c>
    </row>
    <row r="248" spans="1:20" ht="20" customHeight="1">
      <c r="A248" s="22"/>
      <c r="B248" s="6" t="str">
        <f>IF(H248&lt;=12,"有效","无效")</f>
        <v>有效</v>
      </c>
      <c r="C248" s="31" t="s">
        <v>751</v>
      </c>
      <c r="D248" s="32"/>
      <c r="E248" s="32"/>
      <c r="F248" s="32"/>
      <c r="G248" s="33"/>
      <c r="H248" s="4">
        <f>LEN(C248)</f>
        <v>6</v>
      </c>
      <c r="I248" s="11">
        <f>MOD(H248,2)*4+FLOOR(H248/2,1)*6</f>
        <v>18</v>
      </c>
      <c r="J248" s="12">
        <f>I248+I249</f>
        <v>42</v>
      </c>
      <c r="K248" s="20"/>
      <c r="L248" s="13" t="str">
        <f>IF(R248&lt;=12,"有效","无效")</f>
        <v>有效</v>
      </c>
      <c r="M248" s="32" t="s">
        <v>755</v>
      </c>
      <c r="N248" s="32"/>
      <c r="O248" s="32"/>
      <c r="P248" s="32"/>
      <c r="Q248" s="33"/>
      <c r="R248" s="10">
        <f>LEN(M248)</f>
        <v>9</v>
      </c>
      <c r="S248" s="10">
        <f>MOD(R248,2)*4+FLOOR(R248/2,1)*6</f>
        <v>28</v>
      </c>
      <c r="T248" s="12">
        <f>S248+S249</f>
        <v>56</v>
      </c>
    </row>
    <row r="249" spans="1:20" ht="20" customHeight="1">
      <c r="A249" s="22"/>
      <c r="B249" s="6" t="str">
        <f>IF(H249&lt;=12,"有效","无效")</f>
        <v>有效</v>
      </c>
      <c r="C249" s="31" t="s">
        <v>752</v>
      </c>
      <c r="D249" s="32"/>
      <c r="E249" s="32"/>
      <c r="F249" s="32"/>
      <c r="G249" s="33"/>
      <c r="H249" s="4">
        <f>LEN(C249)</f>
        <v>8</v>
      </c>
      <c r="I249" s="11">
        <f>MOD(H249,2)*4+FLOOR(H249/2,1)*6</f>
        <v>24</v>
      </c>
      <c r="J249" s="12" t="str">
        <f>IF(J248&lt;I247,"有效","无效")</f>
        <v>有效</v>
      </c>
      <c r="K249" s="20"/>
      <c r="L249" s="6" t="str">
        <f>IF(R249&lt;=12,"有效","无效")</f>
        <v>有效</v>
      </c>
      <c r="M249" s="31" t="s">
        <v>756</v>
      </c>
      <c r="N249" s="32"/>
      <c r="O249" s="32"/>
      <c r="P249" s="32"/>
      <c r="Q249" s="33"/>
      <c r="R249" s="10">
        <f>LEN(M249)</f>
        <v>9</v>
      </c>
      <c r="S249" s="10">
        <f>MOD(R249,2)*4+FLOOR(R249/2,1)*6</f>
        <v>28</v>
      </c>
      <c r="T249" s="12" t="str">
        <f>IF(T248&lt;I247,"有效","无效")</f>
        <v>有效</v>
      </c>
    </row>
    <row r="250" spans="1:20" ht="20" customHeight="1">
      <c r="A250" s="22"/>
      <c r="B250" s="6" t="str">
        <f>IF(H250&lt;=12,"有效","无效")</f>
        <v>有效</v>
      </c>
      <c r="C250" s="31" t="s">
        <v>753</v>
      </c>
      <c r="D250" s="32"/>
      <c r="E250" s="32"/>
      <c r="F250" s="32"/>
      <c r="G250" s="33"/>
      <c r="H250" s="4">
        <f>LEN(C250)</f>
        <v>7</v>
      </c>
      <c r="I250" s="11">
        <f>MOD(H250,2)*4+FLOOR(H250/2,1)*6</f>
        <v>22</v>
      </c>
      <c r="J250" s="12">
        <f>I250+I251</f>
        <v>40</v>
      </c>
      <c r="K250" s="20"/>
      <c r="L250" s="6" t="str">
        <f>IF(R250&lt;=12,"有效","无效")</f>
        <v>有效</v>
      </c>
      <c r="M250" s="31" t="s">
        <v>757</v>
      </c>
      <c r="N250" s="32"/>
      <c r="O250" s="32"/>
      <c r="P250" s="32"/>
      <c r="Q250" s="33"/>
      <c r="R250" s="10">
        <f>LEN(M250)</f>
        <v>5</v>
      </c>
      <c r="S250" s="10">
        <f>MOD(R250,2)*4+FLOOR(R250/2,1)*6</f>
        <v>16</v>
      </c>
      <c r="T250" s="12">
        <f>S250+S251</f>
        <v>34</v>
      </c>
    </row>
    <row r="251" spans="1:20" ht="20" customHeight="1">
      <c r="A251" s="22"/>
      <c r="B251" s="6" t="str">
        <f>IF(H251&lt;=12,"有效","无效")</f>
        <v>有效</v>
      </c>
      <c r="C251" s="31" t="s">
        <v>754</v>
      </c>
      <c r="D251" s="32"/>
      <c r="E251" s="32"/>
      <c r="F251" s="32"/>
      <c r="G251" s="33"/>
      <c r="H251" s="4">
        <f>LEN(C251)</f>
        <v>6</v>
      </c>
      <c r="I251" s="11">
        <f>MOD(H251,2)*4+FLOOR(H251/2,1)*6</f>
        <v>18</v>
      </c>
      <c r="J251" s="12" t="str">
        <f>IF(J250&lt;I247,"有效","无效")</f>
        <v>有效</v>
      </c>
      <c r="K251" s="20"/>
      <c r="L251" s="6" t="str">
        <f>IF(R251&lt;=12,"有效","无效")</f>
        <v>有效</v>
      </c>
      <c r="M251" s="31" t="s">
        <v>758</v>
      </c>
      <c r="N251" s="32"/>
      <c r="O251" s="32"/>
      <c r="P251" s="32"/>
      <c r="Q251" s="33"/>
      <c r="R251" s="10">
        <f>LEN(M251)</f>
        <v>6</v>
      </c>
      <c r="S251" s="10">
        <f>MOD(R251,2)*4+FLOOR(R251/2,1)*6</f>
        <v>18</v>
      </c>
      <c r="T251" s="12" t="str">
        <f>IF(T250&lt;I247,"有效","无效")</f>
        <v>有效</v>
      </c>
    </row>
    <row r="252" spans="1:20" ht="20" customHeight="1">
      <c r="A252" s="22">
        <v>51</v>
      </c>
      <c r="B252" s="23" t="s">
        <v>79</v>
      </c>
      <c r="C252" s="24" t="s">
        <v>78</v>
      </c>
      <c r="D252" s="14">
        <f>LEN($B252)</f>
        <v>3</v>
      </c>
      <c r="E252" s="14">
        <f>LEN(C252)+3</f>
        <v>5</v>
      </c>
      <c r="F252" s="14">
        <f>MOD(D252,2)*4+FLOOR(D252/2,1)*6</f>
        <v>10</v>
      </c>
      <c r="G252" s="14">
        <f>MOD(E252,2)*4+FLOOR(E252/2,1)*6</f>
        <v>16</v>
      </c>
      <c r="H252" s="14">
        <v>12</v>
      </c>
      <c r="I252" s="14">
        <f>108-H252-G252-F252</f>
        <v>70</v>
      </c>
    </row>
    <row r="253" spans="1:20" ht="20" customHeight="1">
      <c r="A253" s="22"/>
      <c r="B253" s="6" t="str">
        <f>IF(H253&lt;=12,"有效","无效")</f>
        <v>有效</v>
      </c>
      <c r="C253" s="31" t="s">
        <v>759</v>
      </c>
      <c r="D253" s="32"/>
      <c r="E253" s="32"/>
      <c r="F253" s="32"/>
      <c r="G253" s="33"/>
      <c r="H253" s="4">
        <f>LEN(C253)</f>
        <v>4</v>
      </c>
      <c r="I253" s="11">
        <f>MOD(H253,2)*4+FLOOR(H253/2,1)*6</f>
        <v>12</v>
      </c>
      <c r="J253" s="12">
        <f>I253+I254</f>
        <v>30</v>
      </c>
      <c r="K253" s="20"/>
      <c r="L253" s="13" t="str">
        <f>IF(R253&lt;=12,"有效","无效")</f>
        <v>有效</v>
      </c>
      <c r="M253" s="32" t="s">
        <v>763</v>
      </c>
      <c r="N253" s="32"/>
      <c r="O253" s="32"/>
      <c r="P253" s="32"/>
      <c r="Q253" s="33"/>
      <c r="R253" s="10">
        <f>LEN(M253)</f>
        <v>8</v>
      </c>
      <c r="S253" s="10">
        <f>MOD(R253,2)*4+FLOOR(R253/2,1)*6</f>
        <v>24</v>
      </c>
      <c r="T253" s="12">
        <f>S253+S254</f>
        <v>52</v>
      </c>
    </row>
    <row r="254" spans="1:20" ht="20" customHeight="1">
      <c r="A254" s="22"/>
      <c r="B254" s="6" t="str">
        <f>IF(H254&lt;=12,"有效","无效")</f>
        <v>有效</v>
      </c>
      <c r="C254" s="31" t="s">
        <v>760</v>
      </c>
      <c r="D254" s="32"/>
      <c r="E254" s="32"/>
      <c r="F254" s="32"/>
      <c r="G254" s="33"/>
      <c r="H254" s="4">
        <f>LEN(C254)</f>
        <v>6</v>
      </c>
      <c r="I254" s="11">
        <f>MOD(H254,2)*4+FLOOR(H254/2,1)*6</f>
        <v>18</v>
      </c>
      <c r="J254" s="12" t="str">
        <f>IF(J253&lt;I252,"有效","无效")</f>
        <v>有效</v>
      </c>
      <c r="K254" s="20"/>
      <c r="L254" s="6" t="str">
        <f>IF(R254&lt;=12,"有效","无效")</f>
        <v>有效</v>
      </c>
      <c r="M254" s="31" t="s">
        <v>764</v>
      </c>
      <c r="N254" s="32"/>
      <c r="O254" s="32"/>
      <c r="P254" s="32"/>
      <c r="Q254" s="33"/>
      <c r="R254" s="10">
        <f>LEN(M254)</f>
        <v>9</v>
      </c>
      <c r="S254" s="10">
        <f>MOD(R254,2)*4+FLOOR(R254/2,1)*6</f>
        <v>28</v>
      </c>
      <c r="T254" s="12" t="str">
        <f>IF(T253&lt;I252,"有效","无效")</f>
        <v>有效</v>
      </c>
    </row>
    <row r="255" spans="1:20" ht="20" customHeight="1">
      <c r="A255" s="22"/>
      <c r="B255" s="6" t="str">
        <f>IF(H255&lt;=12,"有效","无效")</f>
        <v>有效</v>
      </c>
      <c r="C255" s="31" t="s">
        <v>761</v>
      </c>
      <c r="D255" s="32"/>
      <c r="E255" s="32"/>
      <c r="F255" s="32"/>
      <c r="G255" s="33"/>
      <c r="H255" s="4">
        <f>LEN(C255)</f>
        <v>9</v>
      </c>
      <c r="I255" s="11">
        <f>MOD(H255,2)*4+FLOOR(H255/2,1)*6</f>
        <v>28</v>
      </c>
      <c r="J255" s="12">
        <f>I255+I256</f>
        <v>58</v>
      </c>
      <c r="K255" s="20"/>
      <c r="L255" s="6" t="str">
        <f>IF(R255&lt;=12,"有效","无效")</f>
        <v>有效</v>
      </c>
      <c r="M255" s="31" t="s">
        <v>765</v>
      </c>
      <c r="N255" s="32"/>
      <c r="O255" s="32"/>
      <c r="P255" s="32"/>
      <c r="Q255" s="33"/>
      <c r="R255" s="10">
        <f>LEN(M255)</f>
        <v>4</v>
      </c>
      <c r="S255" s="10">
        <f>MOD(R255,2)*4+FLOOR(R255/2,1)*6</f>
        <v>12</v>
      </c>
      <c r="T255" s="12">
        <f>S255+S256</f>
        <v>36</v>
      </c>
    </row>
    <row r="256" spans="1:20" ht="20" customHeight="1">
      <c r="A256" s="22"/>
      <c r="B256" s="6" t="str">
        <f>IF(H256&lt;=12,"有效","无效")</f>
        <v>有效</v>
      </c>
      <c r="C256" s="31" t="s">
        <v>762</v>
      </c>
      <c r="D256" s="32"/>
      <c r="E256" s="32"/>
      <c r="F256" s="32"/>
      <c r="G256" s="33"/>
      <c r="H256" s="4">
        <f>LEN(C256)</f>
        <v>10</v>
      </c>
      <c r="I256" s="11">
        <f>MOD(H256,2)*4+FLOOR(H256/2,1)*6</f>
        <v>30</v>
      </c>
      <c r="J256" s="12" t="str">
        <f>IF(J255&lt;I252,"有效","无效")</f>
        <v>有效</v>
      </c>
      <c r="K256" s="20"/>
      <c r="L256" s="6" t="str">
        <f>IF(R256&lt;=12,"有效","无效")</f>
        <v>有效</v>
      </c>
      <c r="M256" s="31" t="s">
        <v>766</v>
      </c>
      <c r="N256" s="32"/>
      <c r="O256" s="32"/>
      <c r="P256" s="32"/>
      <c r="Q256" s="33"/>
      <c r="R256" s="10">
        <f>LEN(M256)</f>
        <v>8</v>
      </c>
      <c r="S256" s="10">
        <f>MOD(R256,2)*4+FLOOR(R256/2,1)*6</f>
        <v>24</v>
      </c>
      <c r="T256" s="12" t="str">
        <f>IF(T255&lt;I252,"有效","无效")</f>
        <v>有效</v>
      </c>
    </row>
    <row r="257" spans="1:20" ht="20" customHeight="1">
      <c r="A257" s="22">
        <v>52</v>
      </c>
      <c r="B257" s="23" t="s">
        <v>80</v>
      </c>
      <c r="C257" s="24" t="s">
        <v>81</v>
      </c>
      <c r="D257" s="14">
        <f>LEN($B257)</f>
        <v>2</v>
      </c>
      <c r="E257" s="14">
        <f>LEN(C257)+3</f>
        <v>6</v>
      </c>
      <c r="F257" s="14">
        <f>MOD(D257,2)*4+FLOOR(D257/2,1)*6</f>
        <v>6</v>
      </c>
      <c r="G257" s="14">
        <f>MOD(E257,2)*4+FLOOR(E257/2,1)*6</f>
        <v>18</v>
      </c>
      <c r="H257" s="14">
        <v>12</v>
      </c>
      <c r="I257" s="14">
        <f>108-H257-G257-F257</f>
        <v>72</v>
      </c>
    </row>
    <row r="258" spans="1:20" ht="20" customHeight="1">
      <c r="A258" s="22"/>
      <c r="B258" s="6" t="str">
        <f>IF(H258&lt;=12,"有效","无效")</f>
        <v>有效</v>
      </c>
      <c r="C258" s="34" t="s">
        <v>767</v>
      </c>
      <c r="D258" s="35"/>
      <c r="E258" s="35"/>
      <c r="F258" s="35"/>
      <c r="G258" s="36"/>
      <c r="H258" s="4">
        <f>LEN(C258)</f>
        <v>7</v>
      </c>
      <c r="I258" s="11">
        <f>MOD(H258,2)*4+FLOOR(H258/2,1)*6</f>
        <v>22</v>
      </c>
      <c r="J258" s="12">
        <f>I258+I259</f>
        <v>50</v>
      </c>
      <c r="K258" s="20"/>
      <c r="L258" s="13" t="str">
        <f>IF(R258&lt;=12,"有效","无效")</f>
        <v>有效</v>
      </c>
      <c r="M258" s="35" t="s">
        <v>771</v>
      </c>
      <c r="N258" s="35"/>
      <c r="O258" s="35"/>
      <c r="P258" s="35"/>
      <c r="Q258" s="36"/>
      <c r="R258" s="10">
        <f>LEN(M258)</f>
        <v>4</v>
      </c>
      <c r="S258" s="10">
        <f>MOD(R258,2)*4+FLOOR(R258/2,1)*6</f>
        <v>12</v>
      </c>
      <c r="T258" s="12">
        <f>S258+S259</f>
        <v>36</v>
      </c>
    </row>
    <row r="259" spans="1:20" ht="20" customHeight="1">
      <c r="A259" s="22"/>
      <c r="B259" s="6" t="str">
        <f>IF(H259&lt;=12,"有效","无效")</f>
        <v>有效</v>
      </c>
      <c r="C259" s="34" t="s">
        <v>768</v>
      </c>
      <c r="D259" s="35"/>
      <c r="E259" s="35"/>
      <c r="F259" s="35"/>
      <c r="G259" s="36"/>
      <c r="H259" s="4">
        <f>LEN(C259)</f>
        <v>9</v>
      </c>
      <c r="I259" s="11">
        <f>MOD(H259,2)*4+FLOOR(H259/2,1)*6</f>
        <v>28</v>
      </c>
      <c r="J259" s="12" t="str">
        <f>IF(J258&lt;I257,"有效","无效")</f>
        <v>有效</v>
      </c>
      <c r="K259" s="20"/>
      <c r="L259" s="6" t="str">
        <f>IF(R259&lt;=12,"有效","无效")</f>
        <v>有效</v>
      </c>
      <c r="M259" s="34" t="s">
        <v>772</v>
      </c>
      <c r="N259" s="35"/>
      <c r="O259" s="35"/>
      <c r="P259" s="35"/>
      <c r="Q259" s="36"/>
      <c r="R259" s="10">
        <f>LEN(M259)</f>
        <v>8</v>
      </c>
      <c r="S259" s="10">
        <f>MOD(R259,2)*4+FLOOR(R259/2,1)*6</f>
        <v>24</v>
      </c>
      <c r="T259" s="12" t="str">
        <f>IF(T258&lt;I257,"有效","无效")</f>
        <v>有效</v>
      </c>
    </row>
    <row r="260" spans="1:20" ht="20" customHeight="1">
      <c r="A260" s="22"/>
      <c r="B260" s="6" t="str">
        <f>IF(H260&lt;=12,"有效","无效")</f>
        <v>有效</v>
      </c>
      <c r="C260" s="34" t="s">
        <v>769</v>
      </c>
      <c r="D260" s="35"/>
      <c r="E260" s="35"/>
      <c r="F260" s="35"/>
      <c r="G260" s="36"/>
      <c r="H260" s="4">
        <f>LEN(C260)</f>
        <v>5</v>
      </c>
      <c r="I260" s="11">
        <f>MOD(H260,2)*4+FLOOR(H260/2,1)*6</f>
        <v>16</v>
      </c>
      <c r="J260" s="12">
        <f>I260+I261</f>
        <v>32</v>
      </c>
      <c r="K260" s="20"/>
      <c r="L260" s="6" t="str">
        <f>IF(R260&lt;=12,"有效","无效")</f>
        <v>有效</v>
      </c>
      <c r="M260" s="34" t="s">
        <v>774</v>
      </c>
      <c r="N260" s="35"/>
      <c r="O260" s="35"/>
      <c r="P260" s="35"/>
      <c r="Q260" s="36"/>
      <c r="R260" s="10">
        <f>LEN(M260)</f>
        <v>8</v>
      </c>
      <c r="S260" s="10">
        <f>MOD(R260,2)*4+FLOOR(R260/2,1)*6</f>
        <v>24</v>
      </c>
      <c r="T260" s="12">
        <f>S260+S261</f>
        <v>58</v>
      </c>
    </row>
    <row r="261" spans="1:20" ht="20" customHeight="1">
      <c r="A261" s="22"/>
      <c r="B261" s="6" t="str">
        <f>IF(H261&lt;=12,"有效","无效")</f>
        <v>有效</v>
      </c>
      <c r="C261" s="34" t="s">
        <v>770</v>
      </c>
      <c r="D261" s="35"/>
      <c r="E261" s="35"/>
      <c r="F261" s="35"/>
      <c r="G261" s="36"/>
      <c r="H261" s="4">
        <f>LEN(C261)</f>
        <v>5</v>
      </c>
      <c r="I261" s="11">
        <f>MOD(H261,2)*4+FLOOR(H261/2,1)*6</f>
        <v>16</v>
      </c>
      <c r="J261" s="12" t="str">
        <f>IF(J260&lt;I257,"有效","无效")</f>
        <v>有效</v>
      </c>
      <c r="K261" s="20"/>
      <c r="L261" s="6" t="str">
        <f>IF(R261&lt;=12,"有效","无效")</f>
        <v>有效</v>
      </c>
      <c r="M261" s="34" t="s">
        <v>773</v>
      </c>
      <c r="N261" s="35"/>
      <c r="O261" s="35"/>
      <c r="P261" s="35"/>
      <c r="Q261" s="36"/>
      <c r="R261" s="10">
        <f>LEN(M261)</f>
        <v>11</v>
      </c>
      <c r="S261" s="10">
        <f>MOD(R261,2)*4+FLOOR(R261/2,1)*6</f>
        <v>34</v>
      </c>
      <c r="T261" s="12" t="str">
        <f>IF(T260&lt;I257,"有效","无效")</f>
        <v>有效</v>
      </c>
    </row>
    <row r="262" spans="1:20" ht="20" customHeight="1">
      <c r="A262" s="22">
        <v>53</v>
      </c>
      <c r="B262" s="23" t="s">
        <v>82</v>
      </c>
      <c r="C262" s="24" t="s">
        <v>83</v>
      </c>
      <c r="D262" s="14">
        <f>LEN($B262)</f>
        <v>3</v>
      </c>
      <c r="E262" s="14">
        <f>LEN(C262)+3</f>
        <v>6</v>
      </c>
      <c r="F262" s="14">
        <f>MOD(D262,2)*4+FLOOR(D262/2,1)*6</f>
        <v>10</v>
      </c>
      <c r="G262" s="14">
        <f>MOD(E262,2)*4+FLOOR(E262/2,1)*6</f>
        <v>18</v>
      </c>
      <c r="H262" s="14">
        <v>12</v>
      </c>
      <c r="I262" s="14">
        <f>108-H262-G262-F262</f>
        <v>68</v>
      </c>
    </row>
    <row r="263" spans="1:20" ht="20" customHeight="1">
      <c r="A263" s="22"/>
      <c r="B263" s="6" t="str">
        <f>IF(H263&lt;=12,"有效","无效")</f>
        <v>有效</v>
      </c>
      <c r="C263" s="34" t="s">
        <v>779</v>
      </c>
      <c r="D263" s="35"/>
      <c r="E263" s="35"/>
      <c r="F263" s="35"/>
      <c r="G263" s="36"/>
      <c r="H263" s="4">
        <f>LEN(C263)</f>
        <v>8</v>
      </c>
      <c r="I263" s="11">
        <f>MOD(H263,2)*4+FLOOR(H263/2,1)*6</f>
        <v>24</v>
      </c>
      <c r="J263" s="12">
        <f>I263+I264</f>
        <v>58</v>
      </c>
      <c r="K263" s="20"/>
      <c r="L263" s="13" t="str">
        <f>IF(R263&lt;=12,"有效","无效")</f>
        <v>有效</v>
      </c>
      <c r="M263" s="32" t="s">
        <v>775</v>
      </c>
      <c r="N263" s="32"/>
      <c r="O263" s="32"/>
      <c r="P263" s="32"/>
      <c r="Q263" s="33"/>
      <c r="R263" s="10">
        <f>LEN(M263)</f>
        <v>9</v>
      </c>
      <c r="S263" s="10">
        <f>MOD(R263,2)*4+FLOOR(R263/2,1)*6</f>
        <v>28</v>
      </c>
      <c r="T263" s="12">
        <f>S263+S264</f>
        <v>58</v>
      </c>
    </row>
    <row r="264" spans="1:20" ht="20" customHeight="1">
      <c r="A264" s="22"/>
      <c r="B264" s="6" t="str">
        <f>IF(H264&lt;=12,"有效","无效")</f>
        <v>有效</v>
      </c>
      <c r="C264" s="34" t="s">
        <v>780</v>
      </c>
      <c r="D264" s="35"/>
      <c r="E264" s="35"/>
      <c r="F264" s="35"/>
      <c r="G264" s="36"/>
      <c r="H264" s="4">
        <f>LEN(C264)</f>
        <v>11</v>
      </c>
      <c r="I264" s="11">
        <f>MOD(H264,2)*4+FLOOR(H264/2,1)*6</f>
        <v>34</v>
      </c>
      <c r="J264" s="12" t="str">
        <f>IF(J263&lt;I262,"有效","无效")</f>
        <v>有效</v>
      </c>
      <c r="K264" s="20"/>
      <c r="L264" s="6" t="str">
        <f>IF(R264&lt;=12,"有效","无效")</f>
        <v>有效</v>
      </c>
      <c r="M264" s="31" t="s">
        <v>776</v>
      </c>
      <c r="N264" s="32"/>
      <c r="O264" s="32"/>
      <c r="P264" s="32"/>
      <c r="Q264" s="33"/>
      <c r="R264" s="10">
        <f>LEN(M264)</f>
        <v>10</v>
      </c>
      <c r="S264" s="10">
        <f>MOD(R264,2)*4+FLOOR(R264/2,1)*6</f>
        <v>30</v>
      </c>
      <c r="T264" s="12" t="str">
        <f>IF(T263&lt;I262,"有效","无效")</f>
        <v>有效</v>
      </c>
    </row>
    <row r="265" spans="1:20" ht="20" customHeight="1">
      <c r="A265" s="22"/>
      <c r="B265" s="6" t="str">
        <f>IF(H265&lt;=12,"有效","无效")</f>
        <v>有效</v>
      </c>
      <c r="C265" s="34" t="s">
        <v>782</v>
      </c>
      <c r="D265" s="35"/>
      <c r="E265" s="35"/>
      <c r="F265" s="35"/>
      <c r="G265" s="36"/>
      <c r="H265" s="4">
        <f>LEN(C265)</f>
        <v>6</v>
      </c>
      <c r="I265" s="11">
        <f>MOD(H265,2)*4+FLOOR(H265/2,1)*6</f>
        <v>18</v>
      </c>
      <c r="J265" s="12">
        <f>I265+I266</f>
        <v>34</v>
      </c>
      <c r="K265" s="20"/>
      <c r="L265" s="6" t="str">
        <f>IF(R265&lt;=12,"有效","无效")</f>
        <v>有效</v>
      </c>
      <c r="M265" s="31" t="s">
        <v>777</v>
      </c>
      <c r="N265" s="32"/>
      <c r="O265" s="32"/>
      <c r="P265" s="32"/>
      <c r="Q265" s="33"/>
      <c r="R265" s="10">
        <f>LEN(M265)</f>
        <v>4</v>
      </c>
      <c r="S265" s="10">
        <f>MOD(R265,2)*4+FLOOR(R265/2,1)*6</f>
        <v>12</v>
      </c>
      <c r="T265" s="12">
        <f>S265+S266</f>
        <v>28</v>
      </c>
    </row>
    <row r="266" spans="1:20" ht="20" customHeight="1">
      <c r="A266" s="22"/>
      <c r="B266" s="6" t="str">
        <f>IF(H266&lt;=12,"有效","无效")</f>
        <v>有效</v>
      </c>
      <c r="C266" s="34" t="s">
        <v>781</v>
      </c>
      <c r="D266" s="35"/>
      <c r="E266" s="35"/>
      <c r="F266" s="35"/>
      <c r="G266" s="36"/>
      <c r="H266" s="4">
        <f>LEN(C266)</f>
        <v>5</v>
      </c>
      <c r="I266" s="11">
        <f>MOD(H266,2)*4+FLOOR(H266/2,1)*6</f>
        <v>16</v>
      </c>
      <c r="J266" s="12" t="str">
        <f>IF(J265&lt;I262,"有效","无效")</f>
        <v>有效</v>
      </c>
      <c r="K266" s="20"/>
      <c r="L266" s="6" t="str">
        <f>IF(R266&lt;=12,"有效","无效")</f>
        <v>有效</v>
      </c>
      <c r="M266" s="31" t="s">
        <v>778</v>
      </c>
      <c r="N266" s="32"/>
      <c r="O266" s="32"/>
      <c r="P266" s="32"/>
      <c r="Q266" s="33"/>
      <c r="R266" s="10">
        <f>LEN(M266)</f>
        <v>5</v>
      </c>
      <c r="S266" s="10">
        <f>MOD(R266,2)*4+FLOOR(R266/2,1)*6</f>
        <v>16</v>
      </c>
      <c r="T266" s="12" t="str">
        <f>IF(T265&lt;I262,"有效","无效")</f>
        <v>有效</v>
      </c>
    </row>
    <row r="267" spans="1:20" ht="20" customHeight="1">
      <c r="A267" s="22">
        <v>54</v>
      </c>
      <c r="B267" s="23" t="s">
        <v>84</v>
      </c>
      <c r="C267" s="24" t="s">
        <v>85</v>
      </c>
      <c r="D267" s="14">
        <f>LEN($B267)</f>
        <v>3</v>
      </c>
      <c r="E267" s="14">
        <f>LEN(C267)+3</f>
        <v>4</v>
      </c>
      <c r="F267" s="14">
        <f>MOD(D267,2)*4+FLOOR(D267/2,1)*6</f>
        <v>10</v>
      </c>
      <c r="G267" s="14">
        <f>MOD(E267,2)*4+FLOOR(E267/2,1)*6</f>
        <v>12</v>
      </c>
      <c r="H267" s="14">
        <v>12</v>
      </c>
      <c r="I267" s="14">
        <f>108-H267-G267-F267</f>
        <v>74</v>
      </c>
    </row>
    <row r="268" spans="1:20" ht="20" customHeight="1">
      <c r="A268" s="22"/>
      <c r="B268" s="6" t="str">
        <f>IF(H268&lt;=12,"有效","无效")</f>
        <v>有效</v>
      </c>
      <c r="C268" s="31" t="s">
        <v>783</v>
      </c>
      <c r="D268" s="32"/>
      <c r="E268" s="32"/>
      <c r="F268" s="32"/>
      <c r="G268" s="33"/>
      <c r="H268" s="4">
        <f>LEN(C268)</f>
        <v>7</v>
      </c>
      <c r="I268" s="11">
        <f>MOD(H268,2)*4+FLOOR(H268/2,1)*6</f>
        <v>22</v>
      </c>
      <c r="J268" s="12">
        <f>I268+I269</f>
        <v>56</v>
      </c>
      <c r="K268" s="20"/>
      <c r="L268" s="13" t="str">
        <f>IF(R268&lt;=12,"有效","无效")</f>
        <v>有效</v>
      </c>
      <c r="M268" s="32" t="s">
        <v>787</v>
      </c>
      <c r="N268" s="32"/>
      <c r="O268" s="32"/>
      <c r="P268" s="32"/>
      <c r="Q268" s="33"/>
      <c r="R268" s="10">
        <f>LEN(M268)</f>
        <v>9</v>
      </c>
      <c r="S268" s="10">
        <f>MOD(R268,2)*4+FLOOR(R268/2,1)*6</f>
        <v>28</v>
      </c>
      <c r="T268" s="12">
        <f>S268+S269</f>
        <v>56</v>
      </c>
    </row>
    <row r="269" spans="1:20" ht="20" customHeight="1">
      <c r="A269" s="22"/>
      <c r="B269" s="6" t="str">
        <f>IF(H269&lt;=12,"有效","无效")</f>
        <v>有效</v>
      </c>
      <c r="C269" s="31" t="s">
        <v>784</v>
      </c>
      <c r="D269" s="32"/>
      <c r="E269" s="32"/>
      <c r="F269" s="32"/>
      <c r="G269" s="33"/>
      <c r="H269" s="4">
        <f>LEN(C269)</f>
        <v>11</v>
      </c>
      <c r="I269" s="11">
        <f>MOD(H269,2)*4+FLOOR(H269/2,1)*6</f>
        <v>34</v>
      </c>
      <c r="J269" s="12" t="str">
        <f>IF(J268&lt;I267,"有效","无效")</f>
        <v>有效</v>
      </c>
      <c r="K269" s="20"/>
      <c r="L269" s="6" t="str">
        <f>IF(R269&lt;=12,"有效","无效")</f>
        <v>有效</v>
      </c>
      <c r="M269" s="31" t="s">
        <v>788</v>
      </c>
      <c r="N269" s="32"/>
      <c r="O269" s="32"/>
      <c r="P269" s="32"/>
      <c r="Q269" s="33"/>
      <c r="R269" s="10">
        <f>LEN(M269)</f>
        <v>9</v>
      </c>
      <c r="S269" s="10">
        <f>MOD(R269,2)*4+FLOOR(R269/2,1)*6</f>
        <v>28</v>
      </c>
      <c r="T269" s="12" t="str">
        <f>IF(T268&lt;I267,"有效","无效")</f>
        <v>有效</v>
      </c>
    </row>
    <row r="270" spans="1:20" ht="20" customHeight="1">
      <c r="A270" s="22"/>
      <c r="B270" s="6" t="str">
        <f>IF(H270&lt;=12,"有效","无效")</f>
        <v>有效</v>
      </c>
      <c r="C270" s="31" t="s">
        <v>785</v>
      </c>
      <c r="D270" s="32"/>
      <c r="E270" s="32"/>
      <c r="F270" s="32"/>
      <c r="G270" s="33"/>
      <c r="H270" s="4">
        <f>LEN(C270)</f>
        <v>12</v>
      </c>
      <c r="I270" s="11">
        <f>MOD(H270,2)*4+FLOOR(H270/2,1)*6</f>
        <v>36</v>
      </c>
      <c r="J270" s="12">
        <f>I270+I271</f>
        <v>66</v>
      </c>
      <c r="K270" s="20"/>
      <c r="L270" s="6" t="str">
        <f>IF(R270&lt;=12,"有效","无效")</f>
        <v>有效</v>
      </c>
      <c r="M270" s="31" t="s">
        <v>789</v>
      </c>
      <c r="N270" s="32"/>
      <c r="O270" s="32"/>
      <c r="P270" s="32"/>
      <c r="Q270" s="33"/>
      <c r="R270" s="10">
        <f>LEN(M270)</f>
        <v>5</v>
      </c>
      <c r="S270" s="10">
        <f>MOD(R270,2)*4+FLOOR(R270/2,1)*6</f>
        <v>16</v>
      </c>
      <c r="T270" s="12">
        <f>S270+S271</f>
        <v>34</v>
      </c>
    </row>
    <row r="271" spans="1:20" ht="20" customHeight="1">
      <c r="A271" s="22"/>
      <c r="B271" s="6" t="str">
        <f>IF(H271&lt;=12,"有效","无效")</f>
        <v>有效</v>
      </c>
      <c r="C271" s="31" t="s">
        <v>786</v>
      </c>
      <c r="D271" s="32"/>
      <c r="E271" s="32"/>
      <c r="F271" s="32"/>
      <c r="G271" s="33"/>
      <c r="H271" s="4">
        <f>LEN(C271)</f>
        <v>10</v>
      </c>
      <c r="I271" s="11">
        <f>MOD(H271,2)*4+FLOOR(H271/2,1)*6</f>
        <v>30</v>
      </c>
      <c r="J271" s="12" t="str">
        <f>IF(J270&lt;I267,"有效","无效")</f>
        <v>有效</v>
      </c>
      <c r="K271" s="20"/>
      <c r="L271" s="6" t="str">
        <f>IF(R271&lt;=12,"有效","无效")</f>
        <v>有效</v>
      </c>
      <c r="M271" s="31" t="s">
        <v>790</v>
      </c>
      <c r="N271" s="32"/>
      <c r="O271" s="32"/>
      <c r="P271" s="32"/>
      <c r="Q271" s="33"/>
      <c r="R271" s="10">
        <f>LEN(M271)</f>
        <v>6</v>
      </c>
      <c r="S271" s="10">
        <f>MOD(R271,2)*4+FLOOR(R271/2,1)*6</f>
        <v>18</v>
      </c>
      <c r="T271" s="12" t="str">
        <f>IF(T270&lt;I267,"有效","无效")</f>
        <v>有效</v>
      </c>
    </row>
    <row r="272" spans="1:20" ht="20" customHeight="1">
      <c r="A272" s="22">
        <v>55</v>
      </c>
      <c r="B272" s="23" t="s">
        <v>86</v>
      </c>
      <c r="C272" s="24" t="s">
        <v>85</v>
      </c>
      <c r="D272" s="14">
        <f>LEN($B272)</f>
        <v>3</v>
      </c>
      <c r="E272" s="14">
        <f>LEN(C272)+3</f>
        <v>4</v>
      </c>
      <c r="F272" s="14">
        <f>MOD(D272,2)*4+FLOOR(D272/2,1)*6</f>
        <v>10</v>
      </c>
      <c r="G272" s="14">
        <f>MOD(E272,2)*4+FLOOR(E272/2,1)*6</f>
        <v>12</v>
      </c>
      <c r="H272" s="14">
        <v>12</v>
      </c>
      <c r="I272" s="14">
        <f>108-H272-G272-F272</f>
        <v>74</v>
      </c>
    </row>
    <row r="273" spans="1:20" ht="20" customHeight="1">
      <c r="A273" s="22"/>
      <c r="B273" s="6" t="str">
        <f>IF(H273&lt;=12,"有效","无效")</f>
        <v>有效</v>
      </c>
      <c r="C273" s="31" t="s">
        <v>791</v>
      </c>
      <c r="D273" s="32"/>
      <c r="E273" s="32"/>
      <c r="F273" s="32"/>
      <c r="G273" s="33"/>
      <c r="H273" s="4">
        <f>LEN(C273)</f>
        <v>8</v>
      </c>
      <c r="I273" s="11">
        <f>MOD(H273,2)*4+FLOOR(H273/2,1)*6</f>
        <v>24</v>
      </c>
      <c r="J273" s="12">
        <f>I273+I274</f>
        <v>54</v>
      </c>
      <c r="K273" s="20"/>
      <c r="L273" s="13" t="str">
        <f>IF(R273&lt;=12,"有效","无效")</f>
        <v>有效</v>
      </c>
      <c r="M273" s="32" t="s">
        <v>795</v>
      </c>
      <c r="N273" s="32"/>
      <c r="O273" s="32"/>
      <c r="P273" s="32"/>
      <c r="Q273" s="33"/>
      <c r="R273" s="10">
        <f>LEN(M273)</f>
        <v>10</v>
      </c>
      <c r="S273" s="10">
        <f>MOD(R273,2)*4+FLOOR(R273/2,1)*6</f>
        <v>30</v>
      </c>
      <c r="T273" s="12">
        <f>S273+S274</f>
        <v>64</v>
      </c>
    </row>
    <row r="274" spans="1:20" ht="20" customHeight="1">
      <c r="A274" s="22"/>
      <c r="B274" s="6" t="str">
        <f>IF(H274&lt;=12,"有效","无效")</f>
        <v>有效</v>
      </c>
      <c r="C274" s="31" t="s">
        <v>792</v>
      </c>
      <c r="D274" s="32"/>
      <c r="E274" s="32"/>
      <c r="F274" s="32"/>
      <c r="G274" s="33"/>
      <c r="H274" s="4">
        <f>LEN(C274)</f>
        <v>10</v>
      </c>
      <c r="I274" s="11">
        <f>MOD(H274,2)*4+FLOOR(H274/2,1)*6</f>
        <v>30</v>
      </c>
      <c r="J274" s="12" t="str">
        <f>IF(J273&lt;I272,"有效","无效")</f>
        <v>有效</v>
      </c>
      <c r="K274" s="20"/>
      <c r="L274" s="6" t="str">
        <f>IF(R274&lt;=12,"有效","无效")</f>
        <v>有效</v>
      </c>
      <c r="M274" s="31" t="s">
        <v>796</v>
      </c>
      <c r="N274" s="32"/>
      <c r="O274" s="32"/>
      <c r="P274" s="32"/>
      <c r="Q274" s="33"/>
      <c r="R274" s="10">
        <f>LEN(M274)</f>
        <v>11</v>
      </c>
      <c r="S274" s="10">
        <f>MOD(R274,2)*4+FLOOR(R274/2,1)*6</f>
        <v>34</v>
      </c>
      <c r="T274" s="12" t="str">
        <f>IF(T273&lt;I272,"有效","无效")</f>
        <v>有效</v>
      </c>
    </row>
    <row r="275" spans="1:20" ht="20" customHeight="1">
      <c r="A275" s="22"/>
      <c r="B275" s="6" t="str">
        <f>IF(H275&lt;=12,"有效","无效")</f>
        <v>有效</v>
      </c>
      <c r="C275" s="31" t="s">
        <v>793</v>
      </c>
      <c r="D275" s="32"/>
      <c r="E275" s="32"/>
      <c r="F275" s="32"/>
      <c r="G275" s="33"/>
      <c r="H275" s="4">
        <f>LEN(C275)</f>
        <v>4</v>
      </c>
      <c r="I275" s="11">
        <f>MOD(H275,2)*4+FLOOR(H275/2,1)*6</f>
        <v>12</v>
      </c>
      <c r="J275" s="12">
        <f>I275+I276</f>
        <v>36</v>
      </c>
      <c r="K275" s="20"/>
      <c r="L275" s="6" t="str">
        <f>IF(R275&lt;=12,"有效","无效")</f>
        <v>有效</v>
      </c>
      <c r="M275" s="31" t="s">
        <v>797</v>
      </c>
      <c r="N275" s="32"/>
      <c r="O275" s="32"/>
      <c r="P275" s="32"/>
      <c r="Q275" s="33"/>
      <c r="R275" s="10">
        <f>LEN(M275)</f>
        <v>6</v>
      </c>
      <c r="S275" s="10">
        <f>MOD(R275,2)*4+FLOOR(R275/2,1)*6</f>
        <v>18</v>
      </c>
      <c r="T275" s="12">
        <f>S275+S276</f>
        <v>36</v>
      </c>
    </row>
    <row r="276" spans="1:20" ht="20" customHeight="1">
      <c r="A276" s="22"/>
      <c r="B276" s="6" t="str">
        <f>IF(H276&lt;=12,"有效","无效")</f>
        <v>有效</v>
      </c>
      <c r="C276" s="31" t="s">
        <v>794</v>
      </c>
      <c r="D276" s="32"/>
      <c r="E276" s="32"/>
      <c r="F276" s="32"/>
      <c r="G276" s="33"/>
      <c r="H276" s="4">
        <f>LEN(C276)</f>
        <v>8</v>
      </c>
      <c r="I276" s="11">
        <f>MOD(H276,2)*4+FLOOR(H276/2,1)*6</f>
        <v>24</v>
      </c>
      <c r="J276" s="12" t="str">
        <f>IF(J275&lt;I272,"有效","无效")</f>
        <v>有效</v>
      </c>
      <c r="K276" s="20"/>
      <c r="L276" s="6" t="str">
        <f>IF(R276&lt;=12,"有效","无效")</f>
        <v>有效</v>
      </c>
      <c r="M276" s="31" t="s">
        <v>798</v>
      </c>
      <c r="N276" s="32"/>
      <c r="O276" s="32"/>
      <c r="P276" s="32"/>
      <c r="Q276" s="33"/>
      <c r="R276" s="10">
        <f>LEN(M276)</f>
        <v>6</v>
      </c>
      <c r="S276" s="10">
        <f>MOD(R276,2)*4+FLOOR(R276/2,1)*6</f>
        <v>18</v>
      </c>
      <c r="T276" s="12" t="str">
        <f>IF(T275&lt;I272,"有效","无效")</f>
        <v>有效</v>
      </c>
    </row>
    <row r="277" spans="1:20" ht="20" customHeight="1">
      <c r="A277" s="22">
        <v>56</v>
      </c>
      <c r="B277" s="23" t="s">
        <v>87</v>
      </c>
      <c r="C277" s="24" t="s">
        <v>88</v>
      </c>
      <c r="D277" s="14">
        <f>LEN($B277)</f>
        <v>2</v>
      </c>
      <c r="E277" s="14">
        <f>LEN(C277)+3</f>
        <v>5</v>
      </c>
      <c r="F277" s="14">
        <f>MOD(D277,2)*4+FLOOR(D277/2,1)*6</f>
        <v>6</v>
      </c>
      <c r="G277" s="14">
        <f>MOD(E277,2)*4+FLOOR(E277/2,1)*6</f>
        <v>16</v>
      </c>
      <c r="H277" s="14">
        <v>12</v>
      </c>
      <c r="I277" s="14">
        <f>108-H277-G277-F277</f>
        <v>74</v>
      </c>
    </row>
    <row r="278" spans="1:20" ht="20" customHeight="1">
      <c r="A278" s="22"/>
      <c r="B278" s="6" t="str">
        <f>IF(H278&lt;=12,"有效","无效")</f>
        <v>有效</v>
      </c>
      <c r="C278" s="34" t="s">
        <v>802</v>
      </c>
      <c r="D278" s="35"/>
      <c r="E278" s="35"/>
      <c r="F278" s="35"/>
      <c r="G278" s="36"/>
      <c r="H278" s="4">
        <f>LEN(C278)</f>
        <v>11</v>
      </c>
      <c r="I278" s="11">
        <f>MOD(H278,2)*4+FLOOR(H278/2,1)*6</f>
        <v>34</v>
      </c>
      <c r="J278" s="12">
        <f>I278+I279</f>
        <v>64</v>
      </c>
      <c r="K278" s="20"/>
      <c r="L278" s="13" t="str">
        <f>IF(R278&lt;=12,"有效","无效")</f>
        <v>有效</v>
      </c>
      <c r="M278" s="32" t="s">
        <v>803</v>
      </c>
      <c r="N278" s="32"/>
      <c r="O278" s="32"/>
      <c r="P278" s="32"/>
      <c r="Q278" s="33"/>
      <c r="R278" s="10">
        <f>LEN(M278)</f>
        <v>10</v>
      </c>
      <c r="S278" s="10">
        <f>MOD(R278,2)*4+FLOOR(R278/2,1)*6</f>
        <v>30</v>
      </c>
      <c r="T278" s="12">
        <f>S278+S279</f>
        <v>60</v>
      </c>
    </row>
    <row r="279" spans="1:20" ht="20" customHeight="1">
      <c r="A279" s="22"/>
      <c r="B279" s="6" t="str">
        <f>IF(H279&lt;=12,"有效","无效")</f>
        <v>有效</v>
      </c>
      <c r="C279" s="34" t="s">
        <v>799</v>
      </c>
      <c r="D279" s="35"/>
      <c r="E279" s="35"/>
      <c r="F279" s="35"/>
      <c r="G279" s="36"/>
      <c r="H279" s="4">
        <f>LEN(C279)</f>
        <v>10</v>
      </c>
      <c r="I279" s="11">
        <f>MOD(H279,2)*4+FLOOR(H279/2,1)*6</f>
        <v>30</v>
      </c>
      <c r="J279" s="12" t="str">
        <f>IF(J278&lt;I277,"有效","无效")</f>
        <v>有效</v>
      </c>
      <c r="K279" s="20"/>
      <c r="L279" s="6" t="str">
        <f>IF(R279&lt;=12,"有效","无效")</f>
        <v>有效</v>
      </c>
      <c r="M279" s="31" t="s">
        <v>804</v>
      </c>
      <c r="N279" s="32"/>
      <c r="O279" s="32"/>
      <c r="P279" s="32"/>
      <c r="Q279" s="33"/>
      <c r="R279" s="10">
        <f>LEN(M279)</f>
        <v>10</v>
      </c>
      <c r="S279" s="10">
        <f>MOD(R279,2)*4+FLOOR(R279/2,1)*6</f>
        <v>30</v>
      </c>
      <c r="T279" s="12" t="str">
        <f>IF(T278&lt;I277,"有效","无效")</f>
        <v>有效</v>
      </c>
    </row>
    <row r="280" spans="1:20" ht="20" customHeight="1">
      <c r="A280" s="22"/>
      <c r="B280" s="6" t="str">
        <f>IF(H280&lt;=12,"有效","无效")</f>
        <v>有效</v>
      </c>
      <c r="C280" s="34" t="s">
        <v>800</v>
      </c>
      <c r="D280" s="35"/>
      <c r="E280" s="35"/>
      <c r="F280" s="35"/>
      <c r="G280" s="36"/>
      <c r="H280" s="4">
        <f>LEN(C280)</f>
        <v>7</v>
      </c>
      <c r="I280" s="11">
        <f>MOD(H280,2)*4+FLOOR(H280/2,1)*6</f>
        <v>22</v>
      </c>
      <c r="J280" s="12">
        <f>I280+I281</f>
        <v>38</v>
      </c>
      <c r="K280" s="20"/>
      <c r="L280" s="6" t="str">
        <f>IF(R280&lt;=12,"有效","无效")</f>
        <v>有效</v>
      </c>
      <c r="M280" s="31" t="s">
        <v>805</v>
      </c>
      <c r="N280" s="32"/>
      <c r="O280" s="32"/>
      <c r="P280" s="32"/>
      <c r="Q280" s="33"/>
      <c r="R280" s="10">
        <f>LEN(M280)</f>
        <v>5</v>
      </c>
      <c r="S280" s="10">
        <f>MOD(R280,2)*4+FLOOR(R280/2,1)*6</f>
        <v>16</v>
      </c>
      <c r="T280" s="12">
        <f>S280+S281</f>
        <v>34</v>
      </c>
    </row>
    <row r="281" spans="1:20" ht="20" customHeight="1">
      <c r="A281" s="22"/>
      <c r="B281" s="6" t="str">
        <f>IF(H281&lt;=12,"有效","无效")</f>
        <v>有效</v>
      </c>
      <c r="C281" s="34" t="s">
        <v>801</v>
      </c>
      <c r="D281" s="35"/>
      <c r="E281" s="35"/>
      <c r="F281" s="35"/>
      <c r="G281" s="36"/>
      <c r="H281" s="4">
        <f>LEN(C281)</f>
        <v>5</v>
      </c>
      <c r="I281" s="11">
        <f>MOD(H281,2)*4+FLOOR(H281/2,1)*6</f>
        <v>16</v>
      </c>
      <c r="J281" s="12" t="str">
        <f>IF(J280&lt;I277,"有效","无效")</f>
        <v>有效</v>
      </c>
      <c r="K281" s="20"/>
      <c r="L281" s="6" t="str">
        <f>IF(R281&lt;=12,"有效","无效")</f>
        <v>有效</v>
      </c>
      <c r="M281" s="31" t="s">
        <v>806</v>
      </c>
      <c r="N281" s="32"/>
      <c r="O281" s="32"/>
      <c r="P281" s="32"/>
      <c r="Q281" s="33"/>
      <c r="R281" s="10">
        <f>LEN(M281)</f>
        <v>6</v>
      </c>
      <c r="S281" s="10">
        <f>MOD(R281,2)*4+FLOOR(R281/2,1)*6</f>
        <v>18</v>
      </c>
      <c r="T281" s="12" t="str">
        <f>IF(T280&lt;I277,"有效","无效")</f>
        <v>有效</v>
      </c>
    </row>
    <row r="282" spans="1:20" ht="20" customHeight="1">
      <c r="A282" s="22">
        <v>57</v>
      </c>
      <c r="B282" s="23" t="s">
        <v>89</v>
      </c>
      <c r="C282" s="24" t="s">
        <v>88</v>
      </c>
      <c r="D282" s="14">
        <f>LEN($B282)</f>
        <v>3</v>
      </c>
      <c r="E282" s="14">
        <f>LEN(C282)+3</f>
        <v>5</v>
      </c>
      <c r="F282" s="14">
        <f>MOD(D282,2)*4+FLOOR(D282/2,1)*6</f>
        <v>10</v>
      </c>
      <c r="G282" s="14">
        <f>MOD(E282,2)*4+FLOOR(E282/2,1)*6</f>
        <v>16</v>
      </c>
      <c r="H282" s="14">
        <v>12</v>
      </c>
      <c r="I282" s="14">
        <f>108-H282-G282-F282</f>
        <v>70</v>
      </c>
    </row>
    <row r="283" spans="1:20" ht="20" customHeight="1">
      <c r="A283" s="22"/>
      <c r="B283" s="6" t="str">
        <f>IF(H283&lt;=12,"有效","无效")</f>
        <v>有效</v>
      </c>
      <c r="C283" s="34" t="s">
        <v>807</v>
      </c>
      <c r="D283" s="35"/>
      <c r="E283" s="35"/>
      <c r="F283" s="35"/>
      <c r="G283" s="36"/>
      <c r="H283" s="4">
        <f>LEN(C283)</f>
        <v>10</v>
      </c>
      <c r="I283" s="11">
        <f>MOD(H283,2)*4+FLOOR(H283/2,1)*6</f>
        <v>30</v>
      </c>
      <c r="J283" s="12">
        <f>I283+I284</f>
        <v>66</v>
      </c>
      <c r="K283" s="20"/>
      <c r="L283" s="13" t="str">
        <f>IF(R283&lt;=12,"有效","无效")</f>
        <v>有效</v>
      </c>
      <c r="M283" s="32" t="s">
        <v>811</v>
      </c>
      <c r="N283" s="32"/>
      <c r="O283" s="32"/>
      <c r="P283" s="32"/>
      <c r="Q283" s="33"/>
      <c r="R283" s="10">
        <f>LEN(M283)</f>
        <v>10</v>
      </c>
      <c r="S283" s="10">
        <f>MOD(R283,2)*4+FLOOR(R283/2,1)*6</f>
        <v>30</v>
      </c>
      <c r="T283" s="12">
        <f>S283+S284</f>
        <v>52</v>
      </c>
    </row>
    <row r="284" spans="1:20" ht="20" customHeight="1">
      <c r="A284" s="22"/>
      <c r="B284" s="6" t="str">
        <f>IF(H284&lt;=12,"有效","无效")</f>
        <v>有效</v>
      </c>
      <c r="C284" s="34" t="s">
        <v>808</v>
      </c>
      <c r="D284" s="35"/>
      <c r="E284" s="35"/>
      <c r="F284" s="35"/>
      <c r="G284" s="36"/>
      <c r="H284" s="4">
        <f>LEN(C284)</f>
        <v>12</v>
      </c>
      <c r="I284" s="11">
        <f>MOD(H284,2)*4+FLOOR(H284/2,1)*6</f>
        <v>36</v>
      </c>
      <c r="J284" s="12" t="str">
        <f>IF(J283&lt;I282,"有效","无效")</f>
        <v>有效</v>
      </c>
      <c r="K284" s="20"/>
      <c r="L284" s="6" t="str">
        <f>IF(R284&lt;=12,"有效","无效")</f>
        <v>有效</v>
      </c>
      <c r="M284" s="31" t="s">
        <v>812</v>
      </c>
      <c r="N284" s="32"/>
      <c r="O284" s="32"/>
      <c r="P284" s="32"/>
      <c r="Q284" s="33"/>
      <c r="R284" s="10">
        <f>LEN(M284)</f>
        <v>7</v>
      </c>
      <c r="S284" s="10">
        <f>MOD(R284,2)*4+FLOOR(R284/2,1)*6</f>
        <v>22</v>
      </c>
      <c r="T284" s="12" t="str">
        <f>IF(T283&lt;I282,"有效","无效")</f>
        <v>有效</v>
      </c>
    </row>
    <row r="285" spans="1:20" ht="20" customHeight="1">
      <c r="A285" s="22"/>
      <c r="B285" s="6" t="str">
        <f>IF(H285&lt;=12,"有效","无效")</f>
        <v>有效</v>
      </c>
      <c r="C285" s="34" t="s">
        <v>809</v>
      </c>
      <c r="D285" s="35"/>
      <c r="E285" s="35"/>
      <c r="F285" s="35"/>
      <c r="G285" s="36"/>
      <c r="H285" s="4">
        <f>LEN(C285)</f>
        <v>7</v>
      </c>
      <c r="I285" s="11">
        <f>MOD(H285,2)*4+FLOOR(H285/2,1)*6</f>
        <v>22</v>
      </c>
      <c r="J285" s="12">
        <f>I285+I286</f>
        <v>38</v>
      </c>
      <c r="K285" s="20"/>
      <c r="L285" s="6" t="str">
        <f>IF(R285&lt;=12,"有效","无效")</f>
        <v>有效</v>
      </c>
      <c r="M285" s="31" t="s">
        <v>813</v>
      </c>
      <c r="N285" s="32"/>
      <c r="O285" s="32"/>
      <c r="P285" s="32"/>
      <c r="Q285" s="33"/>
      <c r="R285" s="10">
        <f>LEN(M285)</f>
        <v>4</v>
      </c>
      <c r="S285" s="10">
        <f>MOD(R285,2)*4+FLOOR(R285/2,1)*6</f>
        <v>12</v>
      </c>
      <c r="T285" s="12">
        <f>S285+S286</f>
        <v>42</v>
      </c>
    </row>
    <row r="286" spans="1:20" ht="20" customHeight="1">
      <c r="A286" s="22"/>
      <c r="B286" s="6" t="str">
        <f>IF(H286&lt;=12,"有效","无效")</f>
        <v>有效</v>
      </c>
      <c r="C286" s="34" t="s">
        <v>810</v>
      </c>
      <c r="D286" s="35"/>
      <c r="E286" s="35"/>
      <c r="F286" s="35"/>
      <c r="G286" s="36"/>
      <c r="H286" s="4">
        <f>LEN(C286)</f>
        <v>5</v>
      </c>
      <c r="I286" s="11">
        <f>MOD(H286,2)*4+FLOOR(H286/2,1)*6</f>
        <v>16</v>
      </c>
      <c r="J286" s="12" t="str">
        <f>IF(J285&lt;I282,"有效","无效")</f>
        <v>有效</v>
      </c>
      <c r="K286" s="20"/>
      <c r="L286" s="6" t="str">
        <f>IF(R286&lt;=12,"有效","无效")</f>
        <v>有效</v>
      </c>
      <c r="M286" s="31" t="s">
        <v>814</v>
      </c>
      <c r="N286" s="32"/>
      <c r="O286" s="32"/>
      <c r="P286" s="32"/>
      <c r="Q286" s="33"/>
      <c r="R286" s="10">
        <f>LEN(M286)</f>
        <v>10</v>
      </c>
      <c r="S286" s="10">
        <f>MOD(R286,2)*4+FLOOR(R286/2,1)*6</f>
        <v>30</v>
      </c>
      <c r="T286" s="12" t="str">
        <f>IF(T285&lt;I282,"有效","无效")</f>
        <v>有效</v>
      </c>
    </row>
    <row r="287" spans="1:20" ht="20" customHeight="1">
      <c r="A287" s="22">
        <v>58</v>
      </c>
      <c r="B287" s="23" t="s">
        <v>90</v>
      </c>
      <c r="C287" s="24" t="s">
        <v>91</v>
      </c>
      <c r="D287" s="14">
        <f>LEN($B287)</f>
        <v>3</v>
      </c>
      <c r="E287" s="14">
        <f>LEN(C287)+3</f>
        <v>5</v>
      </c>
      <c r="F287" s="14">
        <f>MOD(D287,2)*4+FLOOR(D287/2,1)*6</f>
        <v>10</v>
      </c>
      <c r="G287" s="14">
        <f>MOD(E287,2)*4+FLOOR(E287/2,1)*6</f>
        <v>16</v>
      </c>
      <c r="H287" s="14">
        <v>12</v>
      </c>
      <c r="I287" s="14">
        <f>108-H287-G287-F287</f>
        <v>70</v>
      </c>
      <c r="J287" s="30"/>
    </row>
    <row r="288" spans="1:20" ht="20" customHeight="1">
      <c r="A288" s="22"/>
      <c r="B288" s="6" t="str">
        <f>IF(H288&lt;=12,"有效","无效")</f>
        <v>有效</v>
      </c>
      <c r="C288" s="31" t="s">
        <v>2090</v>
      </c>
      <c r="D288" s="32"/>
      <c r="E288" s="32"/>
      <c r="F288" s="32"/>
      <c r="G288" s="33"/>
      <c r="H288" s="4">
        <f>LEN(C288)</f>
        <v>9</v>
      </c>
      <c r="I288" s="11">
        <f>MOD(H288,2)*4+FLOOR(H288/2,1)*6</f>
        <v>28</v>
      </c>
      <c r="J288" s="12">
        <f>I288+I289</f>
        <v>62</v>
      </c>
      <c r="K288" s="20"/>
      <c r="L288" s="13" t="str">
        <f>IF(R288&lt;=12,"有效","无效")</f>
        <v>有效</v>
      </c>
      <c r="M288" s="32" t="s">
        <v>815</v>
      </c>
      <c r="N288" s="32"/>
      <c r="O288" s="32"/>
      <c r="P288" s="32"/>
      <c r="Q288" s="33"/>
      <c r="R288" s="10">
        <f>LEN(M288)</f>
        <v>5</v>
      </c>
      <c r="S288" s="10">
        <f>MOD(R288,2)*4+FLOOR(R288/2,1)*6</f>
        <v>16</v>
      </c>
      <c r="T288" s="12">
        <f>S288+S289</f>
        <v>50</v>
      </c>
    </row>
    <row r="289" spans="1:20" ht="20" customHeight="1">
      <c r="A289" s="22"/>
      <c r="B289" s="6" t="str">
        <f>IF(H289&lt;=12,"有效","无效")</f>
        <v>有效</v>
      </c>
      <c r="C289" s="31" t="s">
        <v>2089</v>
      </c>
      <c r="D289" s="32"/>
      <c r="E289" s="32"/>
      <c r="F289" s="32"/>
      <c r="G289" s="33"/>
      <c r="H289" s="4">
        <f>LEN(C289)</f>
        <v>11</v>
      </c>
      <c r="I289" s="11">
        <f>MOD(H289,2)*4+FLOOR(H289/2,1)*6</f>
        <v>34</v>
      </c>
      <c r="J289" s="12" t="str">
        <f>IF(J288&lt;I287,"有效","无效")</f>
        <v>有效</v>
      </c>
      <c r="K289" s="20"/>
      <c r="L289" s="6" t="str">
        <f>IF(R289&lt;=12,"有效","无效")</f>
        <v>有效</v>
      </c>
      <c r="M289" s="31" t="s">
        <v>816</v>
      </c>
      <c r="N289" s="32"/>
      <c r="O289" s="32"/>
      <c r="P289" s="32"/>
      <c r="Q289" s="33"/>
      <c r="R289" s="10">
        <f>LEN(M289)</f>
        <v>11</v>
      </c>
      <c r="S289" s="10">
        <f>MOD(R289,2)*4+FLOOR(R289/2,1)*6</f>
        <v>34</v>
      </c>
      <c r="T289" s="12" t="str">
        <f>IF(T288&lt;I287,"有效","无效")</f>
        <v>有效</v>
      </c>
    </row>
    <row r="290" spans="1:20" ht="20" customHeight="1">
      <c r="A290" s="22"/>
      <c r="B290" s="6" t="str">
        <f>IF(H290&lt;=12,"有效","无效")</f>
        <v>有效</v>
      </c>
      <c r="C290" s="31" t="s">
        <v>2092</v>
      </c>
      <c r="D290" s="32"/>
      <c r="E290" s="32"/>
      <c r="F290" s="32"/>
      <c r="G290" s="33"/>
      <c r="H290" s="4">
        <f>LEN(C290)</f>
        <v>4</v>
      </c>
      <c r="I290" s="11">
        <f>MOD(H290,2)*4+FLOOR(H290/2,1)*6</f>
        <v>12</v>
      </c>
      <c r="J290" s="12">
        <f>I290+I291</f>
        <v>28</v>
      </c>
      <c r="K290" s="20"/>
      <c r="L290" s="6" t="str">
        <f>IF(R290&lt;=12,"有效","无效")</f>
        <v>有效</v>
      </c>
      <c r="M290" s="31" t="s">
        <v>480</v>
      </c>
      <c r="N290" s="32"/>
      <c r="O290" s="32"/>
      <c r="P290" s="32"/>
      <c r="Q290" s="33"/>
      <c r="R290" s="10">
        <f>LEN(M290)</f>
        <v>4</v>
      </c>
      <c r="S290" s="10">
        <f>MOD(R290,2)*4+FLOOR(R290/2,1)*6</f>
        <v>12</v>
      </c>
      <c r="T290" s="12">
        <f>S290+S291</f>
        <v>30</v>
      </c>
    </row>
    <row r="291" spans="1:20" ht="20" customHeight="1">
      <c r="A291" s="22"/>
      <c r="B291" s="6" t="str">
        <f>IF(H291&lt;=12,"有效","无效")</f>
        <v>有效</v>
      </c>
      <c r="C291" s="31" t="s">
        <v>2091</v>
      </c>
      <c r="D291" s="32"/>
      <c r="E291" s="32"/>
      <c r="F291" s="32"/>
      <c r="G291" s="33"/>
      <c r="H291" s="4">
        <f>LEN(C291)</f>
        <v>5</v>
      </c>
      <c r="I291" s="11">
        <f>MOD(H291,2)*4+FLOOR(H291/2,1)*6</f>
        <v>16</v>
      </c>
      <c r="J291" s="12" t="str">
        <f>IF(J290&lt;I287,"有效","无效")</f>
        <v>有效</v>
      </c>
      <c r="K291" s="20"/>
      <c r="L291" s="6" t="str">
        <f>IF(R291&lt;=12,"有效","无效")</f>
        <v>有效</v>
      </c>
      <c r="M291" s="31" t="s">
        <v>817</v>
      </c>
      <c r="N291" s="32"/>
      <c r="O291" s="32"/>
      <c r="P291" s="32"/>
      <c r="Q291" s="33"/>
      <c r="R291" s="10">
        <f>LEN(M291)</f>
        <v>6</v>
      </c>
      <c r="S291" s="10">
        <f>MOD(R291,2)*4+FLOOR(R291/2,1)*6</f>
        <v>18</v>
      </c>
      <c r="T291" s="12" t="str">
        <f>IF(T290&lt;I287,"有效","无效")</f>
        <v>有效</v>
      </c>
    </row>
    <row r="292" spans="1:20" ht="20" customHeight="1">
      <c r="A292" s="22">
        <v>59</v>
      </c>
      <c r="B292" s="23" t="s">
        <v>92</v>
      </c>
      <c r="C292" s="24" t="s">
        <v>93</v>
      </c>
      <c r="D292" s="14">
        <f>LEN($B292)</f>
        <v>3</v>
      </c>
      <c r="E292" s="14">
        <f>LEN(C292)+3</f>
        <v>5</v>
      </c>
      <c r="F292" s="14">
        <f>MOD(D292,2)*4+FLOOR(D292/2,1)*6</f>
        <v>10</v>
      </c>
      <c r="G292" s="14">
        <f>MOD(E292,2)*4+FLOOR(E292/2,1)*6</f>
        <v>16</v>
      </c>
      <c r="H292" s="14">
        <v>12</v>
      </c>
      <c r="I292" s="14">
        <f>108-H292-G292-F292</f>
        <v>70</v>
      </c>
    </row>
    <row r="293" spans="1:20" ht="20" customHeight="1">
      <c r="A293" s="22"/>
      <c r="B293" s="6" t="str">
        <f>IF(H293&lt;=12,"有效","无效")</f>
        <v>有效</v>
      </c>
      <c r="C293" s="34" t="s">
        <v>818</v>
      </c>
      <c r="D293" s="35"/>
      <c r="E293" s="35"/>
      <c r="F293" s="35"/>
      <c r="G293" s="36"/>
      <c r="H293" s="4">
        <f>LEN(C293)</f>
        <v>7</v>
      </c>
      <c r="I293" s="11">
        <f>MOD(H293,2)*4+FLOOR(H293/2,1)*6</f>
        <v>22</v>
      </c>
      <c r="J293" s="12">
        <f>I293+I294</f>
        <v>44</v>
      </c>
      <c r="K293" s="20"/>
      <c r="L293" s="13" t="str">
        <f>IF(R293&lt;=12,"有效","无效")</f>
        <v>有效</v>
      </c>
      <c r="M293" s="32" t="s">
        <v>822</v>
      </c>
      <c r="N293" s="32"/>
      <c r="O293" s="32"/>
      <c r="P293" s="32"/>
      <c r="Q293" s="33"/>
      <c r="R293" s="10">
        <f>LEN(M293)</f>
        <v>7</v>
      </c>
      <c r="S293" s="10">
        <f>MOD(R293,2)*4+FLOOR(R293/2,1)*6</f>
        <v>22</v>
      </c>
      <c r="T293" s="12">
        <f>S293+S294</f>
        <v>38</v>
      </c>
    </row>
    <row r="294" spans="1:20" ht="20" customHeight="1">
      <c r="A294" s="22"/>
      <c r="B294" s="6" t="str">
        <f>IF(H294&lt;=12,"有效","无效")</f>
        <v>有效</v>
      </c>
      <c r="C294" s="34" t="s">
        <v>819</v>
      </c>
      <c r="D294" s="35"/>
      <c r="E294" s="35"/>
      <c r="F294" s="35"/>
      <c r="G294" s="36"/>
      <c r="H294" s="4">
        <f>LEN(C294)</f>
        <v>7</v>
      </c>
      <c r="I294" s="11">
        <f>MOD(H294,2)*4+FLOOR(H294/2,1)*6</f>
        <v>22</v>
      </c>
      <c r="J294" s="12" t="str">
        <f>IF(J293&lt;I292,"有效","无效")</f>
        <v>有效</v>
      </c>
      <c r="K294" s="20"/>
      <c r="L294" s="6" t="str">
        <f>IF(R294&lt;=12,"有效","无效")</f>
        <v>有效</v>
      </c>
      <c r="M294" s="31" t="s">
        <v>823</v>
      </c>
      <c r="N294" s="32"/>
      <c r="O294" s="32"/>
      <c r="P294" s="32"/>
      <c r="Q294" s="33"/>
      <c r="R294" s="10">
        <f>LEN(M294)</f>
        <v>5</v>
      </c>
      <c r="S294" s="10">
        <f>MOD(R294,2)*4+FLOOR(R294/2,1)*6</f>
        <v>16</v>
      </c>
      <c r="T294" s="12" t="str">
        <f>IF(T293&lt;I292,"有效","无效")</f>
        <v>有效</v>
      </c>
    </row>
    <row r="295" spans="1:20" ht="20" customHeight="1">
      <c r="A295" s="22"/>
      <c r="B295" s="6" t="str">
        <f>IF(H295&lt;=12,"有效","无效")</f>
        <v>有效</v>
      </c>
      <c r="C295" s="34" t="s">
        <v>820</v>
      </c>
      <c r="D295" s="35"/>
      <c r="E295" s="35"/>
      <c r="F295" s="35"/>
      <c r="G295" s="36"/>
      <c r="H295" s="4">
        <f>LEN(C295)</f>
        <v>8</v>
      </c>
      <c r="I295" s="11">
        <f>MOD(H295,2)*4+FLOOR(H295/2,1)*6</f>
        <v>24</v>
      </c>
      <c r="J295" s="12">
        <f>I295+I296</f>
        <v>54</v>
      </c>
      <c r="K295" s="20"/>
      <c r="L295" s="6" t="str">
        <f>IF(R295&lt;=12,"有效","无效")</f>
        <v>有效</v>
      </c>
      <c r="M295" s="31" t="s">
        <v>824</v>
      </c>
      <c r="N295" s="32"/>
      <c r="O295" s="32"/>
      <c r="P295" s="32"/>
      <c r="Q295" s="33"/>
      <c r="R295" s="10">
        <f>LEN(M295)</f>
        <v>8</v>
      </c>
      <c r="S295" s="10">
        <f>MOD(R295,2)*4+FLOOR(R295/2,1)*6</f>
        <v>24</v>
      </c>
      <c r="T295" s="12">
        <f>S295+S296</f>
        <v>60</v>
      </c>
    </row>
    <row r="296" spans="1:20" ht="20" customHeight="1">
      <c r="A296" s="22"/>
      <c r="B296" s="6" t="str">
        <f>IF(H296&lt;=12,"有效","无效")</f>
        <v>有效</v>
      </c>
      <c r="C296" s="34" t="s">
        <v>821</v>
      </c>
      <c r="D296" s="35"/>
      <c r="E296" s="35"/>
      <c r="F296" s="35"/>
      <c r="G296" s="36"/>
      <c r="H296" s="4">
        <f>LEN(C296)</f>
        <v>10</v>
      </c>
      <c r="I296" s="11">
        <f>MOD(H296,2)*4+FLOOR(H296/2,1)*6</f>
        <v>30</v>
      </c>
      <c r="J296" s="12" t="str">
        <f>IF(J295&lt;I292,"有效","无效")</f>
        <v>有效</v>
      </c>
      <c r="K296" s="20"/>
      <c r="L296" s="6" t="str">
        <f>IF(R296&lt;=12,"有效","无效")</f>
        <v>有效</v>
      </c>
      <c r="M296" s="31" t="s">
        <v>825</v>
      </c>
      <c r="N296" s="32"/>
      <c r="O296" s="32"/>
      <c r="P296" s="32"/>
      <c r="Q296" s="33"/>
      <c r="R296" s="10">
        <f>LEN(M296)</f>
        <v>12</v>
      </c>
      <c r="S296" s="10">
        <f>MOD(R296,2)*4+FLOOR(R296/2,1)*6</f>
        <v>36</v>
      </c>
      <c r="T296" s="12" t="str">
        <f>IF(T295&lt;I292,"有效","无效")</f>
        <v>有效</v>
      </c>
    </row>
    <row r="297" spans="1:20" ht="20" customHeight="1">
      <c r="A297" s="22">
        <v>60</v>
      </c>
      <c r="B297" s="23" t="s">
        <v>94</v>
      </c>
      <c r="C297" s="24" t="s">
        <v>95</v>
      </c>
      <c r="D297" s="14">
        <f>LEN($B297)</f>
        <v>4</v>
      </c>
      <c r="E297" s="14">
        <f>LEN(C297)+3</f>
        <v>5</v>
      </c>
      <c r="F297" s="14">
        <f>MOD(D297,2)*4+FLOOR(D297/2,1)*6</f>
        <v>12</v>
      </c>
      <c r="G297" s="14">
        <f>MOD(E297,2)*4+FLOOR(E297/2,1)*6</f>
        <v>16</v>
      </c>
      <c r="H297" s="14">
        <v>12</v>
      </c>
      <c r="I297" s="14">
        <f>108-H297-G297-F297</f>
        <v>68</v>
      </c>
    </row>
    <row r="298" spans="1:20" ht="20" customHeight="1">
      <c r="A298" s="22"/>
      <c r="B298" s="6" t="str">
        <f>IF(H298&lt;=12,"有效","无效")</f>
        <v>有效</v>
      </c>
      <c r="C298" s="34" t="s">
        <v>826</v>
      </c>
      <c r="D298" s="35"/>
      <c r="E298" s="35"/>
      <c r="F298" s="35"/>
      <c r="G298" s="36"/>
      <c r="H298" s="4">
        <f>LEN(C298)</f>
        <v>5</v>
      </c>
      <c r="I298" s="11">
        <f>MOD(H298,2)*4+FLOOR(H298/2,1)*6</f>
        <v>16</v>
      </c>
      <c r="J298" s="12">
        <f>I298+I299</f>
        <v>46</v>
      </c>
      <c r="K298" s="20"/>
      <c r="L298" s="13" t="str">
        <f>IF(R298&lt;=12,"有效","无效")</f>
        <v>有效</v>
      </c>
      <c r="M298" s="35" t="s">
        <v>830</v>
      </c>
      <c r="N298" s="35"/>
      <c r="O298" s="35"/>
      <c r="P298" s="35"/>
      <c r="Q298" s="36"/>
      <c r="R298" s="10">
        <f>LEN(M298)</f>
        <v>5</v>
      </c>
      <c r="S298" s="10">
        <f>MOD(R298,2)*4+FLOOR(R298/2,1)*6</f>
        <v>16</v>
      </c>
      <c r="T298" s="12">
        <f>S298+S299</f>
        <v>40</v>
      </c>
    </row>
    <row r="299" spans="1:20" ht="20" customHeight="1">
      <c r="A299" s="22"/>
      <c r="B299" s="6" t="str">
        <f>IF(H299&lt;=12,"有效","无效")</f>
        <v>有效</v>
      </c>
      <c r="C299" s="34" t="s">
        <v>827</v>
      </c>
      <c r="D299" s="35"/>
      <c r="E299" s="35"/>
      <c r="F299" s="35"/>
      <c r="G299" s="36"/>
      <c r="H299" s="4">
        <f>LEN(C299)</f>
        <v>10</v>
      </c>
      <c r="I299" s="11">
        <f>MOD(H299,2)*4+FLOOR(H299/2,1)*6</f>
        <v>30</v>
      </c>
      <c r="J299" s="12" t="str">
        <f>IF(J298&lt;I297,"有效","无效")</f>
        <v>有效</v>
      </c>
      <c r="K299" s="20"/>
      <c r="L299" s="6" t="str">
        <f>IF(R299&lt;=12,"有效","无效")</f>
        <v>有效</v>
      </c>
      <c r="M299" s="34" t="s">
        <v>831</v>
      </c>
      <c r="N299" s="35"/>
      <c r="O299" s="35"/>
      <c r="P299" s="35"/>
      <c r="Q299" s="36"/>
      <c r="R299" s="10">
        <f>LEN(M299)</f>
        <v>8</v>
      </c>
      <c r="S299" s="10">
        <f>MOD(R299,2)*4+FLOOR(R299/2,1)*6</f>
        <v>24</v>
      </c>
      <c r="T299" s="12" t="str">
        <f>IF(T298&lt;I297,"有效","无效")</f>
        <v>有效</v>
      </c>
    </row>
    <row r="300" spans="1:20" ht="20" customHeight="1">
      <c r="A300" s="22"/>
      <c r="B300" s="6" t="str">
        <f>IF(H300&lt;=12,"有效","无效")</f>
        <v>有效</v>
      </c>
      <c r="C300" s="34" t="s">
        <v>828</v>
      </c>
      <c r="D300" s="35"/>
      <c r="E300" s="35"/>
      <c r="F300" s="35"/>
      <c r="G300" s="36"/>
      <c r="H300" s="4">
        <f>LEN(C300)</f>
        <v>7</v>
      </c>
      <c r="I300" s="11">
        <f>MOD(H300,2)*4+FLOOR(H300/2,1)*6</f>
        <v>22</v>
      </c>
      <c r="J300" s="12">
        <f>I300+I301</f>
        <v>38</v>
      </c>
      <c r="K300" s="20"/>
      <c r="L300" s="6" t="str">
        <f>IF(R300&lt;=12,"有效","无效")</f>
        <v>有效</v>
      </c>
      <c r="M300" s="34" t="s">
        <v>832</v>
      </c>
      <c r="N300" s="35"/>
      <c r="O300" s="35"/>
      <c r="P300" s="35"/>
      <c r="Q300" s="36"/>
      <c r="R300" s="10">
        <f>LEN(M300)</f>
        <v>5</v>
      </c>
      <c r="S300" s="10">
        <f>MOD(R300,2)*4+FLOOR(R300/2,1)*6</f>
        <v>16</v>
      </c>
      <c r="T300" s="12">
        <f>S300+S301</f>
        <v>34</v>
      </c>
    </row>
    <row r="301" spans="1:20" ht="20" customHeight="1">
      <c r="A301" s="22"/>
      <c r="B301" s="6" t="str">
        <f>IF(H301&lt;=12,"有效","无效")</f>
        <v>有效</v>
      </c>
      <c r="C301" s="34" t="s">
        <v>829</v>
      </c>
      <c r="D301" s="35"/>
      <c r="E301" s="35"/>
      <c r="F301" s="35"/>
      <c r="G301" s="36"/>
      <c r="H301" s="4">
        <f>LEN(C301)</f>
        <v>5</v>
      </c>
      <c r="I301" s="11">
        <f>MOD(H301,2)*4+FLOOR(H301/2,1)*6</f>
        <v>16</v>
      </c>
      <c r="J301" s="12" t="str">
        <f>IF(J300&lt;I297,"有效","无效")</f>
        <v>有效</v>
      </c>
      <c r="K301" s="20"/>
      <c r="L301" s="6" t="str">
        <f>IF(R301&lt;=12,"有效","无效")</f>
        <v>有效</v>
      </c>
      <c r="M301" s="34" t="s">
        <v>833</v>
      </c>
      <c r="N301" s="35"/>
      <c r="O301" s="35"/>
      <c r="P301" s="35"/>
      <c r="Q301" s="36"/>
      <c r="R301" s="10">
        <f>LEN(M301)</f>
        <v>6</v>
      </c>
      <c r="S301" s="10">
        <f>MOD(R301,2)*4+FLOOR(R301/2,1)*6</f>
        <v>18</v>
      </c>
      <c r="T301" s="12" t="str">
        <f>IF(T300&lt;I297,"有效","无效")</f>
        <v>有效</v>
      </c>
    </row>
    <row r="302" spans="1:20" ht="20" customHeight="1">
      <c r="A302" s="22">
        <v>61</v>
      </c>
      <c r="B302" s="23" t="s">
        <v>96</v>
      </c>
      <c r="C302" s="24" t="s">
        <v>95</v>
      </c>
      <c r="D302" s="14">
        <f>LEN($B302)</f>
        <v>3</v>
      </c>
      <c r="E302" s="14">
        <f>LEN(C302)+3</f>
        <v>5</v>
      </c>
      <c r="F302" s="14">
        <f>MOD(D302,2)*4+FLOOR(D302/2,1)*6</f>
        <v>10</v>
      </c>
      <c r="G302" s="14">
        <f>MOD(E302,2)*4+FLOOR(E302/2,1)*6</f>
        <v>16</v>
      </c>
      <c r="H302" s="14">
        <v>12</v>
      </c>
      <c r="I302" s="14">
        <f>108-H302-G302-F302</f>
        <v>70</v>
      </c>
    </row>
    <row r="303" spans="1:20" ht="20" customHeight="1">
      <c r="A303" s="22"/>
      <c r="B303" s="6" t="str">
        <f>IF(H303&lt;=12,"有效","无效")</f>
        <v>有效</v>
      </c>
      <c r="C303" s="34" t="s">
        <v>838</v>
      </c>
      <c r="D303" s="35"/>
      <c r="E303" s="35"/>
      <c r="F303" s="35"/>
      <c r="G303" s="36"/>
      <c r="H303" s="4">
        <f>LEN(C303)</f>
        <v>4</v>
      </c>
      <c r="I303" s="11">
        <f>MOD(H303,2)*4+FLOOR(H303/2,1)*6</f>
        <v>12</v>
      </c>
      <c r="J303" s="12">
        <f>I303+I304</f>
        <v>36</v>
      </c>
      <c r="K303" s="20"/>
      <c r="L303" s="13" t="str">
        <f>IF(R303&lt;=12,"有效","无效")</f>
        <v>有效</v>
      </c>
      <c r="M303" s="32" t="s">
        <v>834</v>
      </c>
      <c r="N303" s="32"/>
      <c r="O303" s="32"/>
      <c r="P303" s="32"/>
      <c r="Q303" s="33"/>
      <c r="R303" s="10">
        <f>LEN(M303)</f>
        <v>5</v>
      </c>
      <c r="S303" s="10">
        <f>MOD(R303,2)*4+FLOOR(R303/2,1)*6</f>
        <v>16</v>
      </c>
      <c r="T303" s="12">
        <f>S303+S304</f>
        <v>32</v>
      </c>
    </row>
    <row r="304" spans="1:20" ht="20" customHeight="1">
      <c r="A304" s="22"/>
      <c r="B304" s="6" t="str">
        <f>IF(H304&lt;=12,"有效","无效")</f>
        <v>有效</v>
      </c>
      <c r="C304" s="34" t="s">
        <v>839</v>
      </c>
      <c r="D304" s="35"/>
      <c r="E304" s="35"/>
      <c r="F304" s="35"/>
      <c r="G304" s="36"/>
      <c r="H304" s="4">
        <f>LEN(C304)</f>
        <v>8</v>
      </c>
      <c r="I304" s="11">
        <f>MOD(H304,2)*4+FLOOR(H304/2,1)*6</f>
        <v>24</v>
      </c>
      <c r="J304" s="12" t="str">
        <f>IF(J303&lt;I302,"有效","无效")</f>
        <v>有效</v>
      </c>
      <c r="K304" s="20"/>
      <c r="L304" s="6" t="str">
        <f>IF(R304&lt;=12,"有效","无效")</f>
        <v>有效</v>
      </c>
      <c r="M304" s="31" t="s">
        <v>835</v>
      </c>
      <c r="N304" s="32"/>
      <c r="O304" s="32"/>
      <c r="P304" s="32"/>
      <c r="Q304" s="33"/>
      <c r="R304" s="10">
        <f>LEN(M304)</f>
        <v>5</v>
      </c>
      <c r="S304" s="10">
        <f>MOD(R304,2)*4+FLOOR(R304/2,1)*6</f>
        <v>16</v>
      </c>
      <c r="T304" s="12" t="str">
        <f>IF(T303&lt;I302,"有效","无效")</f>
        <v>有效</v>
      </c>
    </row>
    <row r="305" spans="1:20" ht="20" customHeight="1">
      <c r="A305" s="22"/>
      <c r="B305" s="6" t="str">
        <f>IF(H305&lt;=12,"有效","无效")</f>
        <v>有效</v>
      </c>
      <c r="C305" s="34" t="s">
        <v>840</v>
      </c>
      <c r="D305" s="35"/>
      <c r="E305" s="35"/>
      <c r="F305" s="35"/>
      <c r="G305" s="36"/>
      <c r="H305" s="4">
        <f>LEN(C305)</f>
        <v>8</v>
      </c>
      <c r="I305" s="11">
        <f>MOD(H305,2)*4+FLOOR(H305/2,1)*6</f>
        <v>24</v>
      </c>
      <c r="J305" s="12">
        <f>I305+I306</f>
        <v>42</v>
      </c>
      <c r="K305" s="20"/>
      <c r="L305" s="6" t="str">
        <f>IF(R305&lt;=12,"有效","无效")</f>
        <v>有效</v>
      </c>
      <c r="M305" s="31" t="s">
        <v>836</v>
      </c>
      <c r="N305" s="32"/>
      <c r="O305" s="32"/>
      <c r="P305" s="32"/>
      <c r="Q305" s="33"/>
      <c r="R305" s="10">
        <f>LEN(M305)</f>
        <v>8</v>
      </c>
      <c r="S305" s="10">
        <f>MOD(R305,2)*4+FLOOR(R305/2,1)*6</f>
        <v>24</v>
      </c>
      <c r="T305" s="12">
        <f>S305+S306</f>
        <v>52</v>
      </c>
    </row>
    <row r="306" spans="1:20" ht="20" customHeight="1">
      <c r="A306" s="22"/>
      <c r="B306" s="6" t="str">
        <f>IF(H306&lt;=12,"有效","无效")</f>
        <v>有效</v>
      </c>
      <c r="C306" s="34" t="s">
        <v>841</v>
      </c>
      <c r="D306" s="35"/>
      <c r="E306" s="35"/>
      <c r="F306" s="35"/>
      <c r="G306" s="36"/>
      <c r="H306" s="4">
        <f>LEN(C306)</f>
        <v>6</v>
      </c>
      <c r="I306" s="11">
        <f>MOD(H306,2)*4+FLOOR(H306/2,1)*6</f>
        <v>18</v>
      </c>
      <c r="J306" s="12" t="str">
        <f>IF(J305&lt;I302,"有效","无效")</f>
        <v>有效</v>
      </c>
      <c r="K306" s="20"/>
      <c r="L306" s="6" t="str">
        <f>IF(R306&lt;=12,"有效","无效")</f>
        <v>有效</v>
      </c>
      <c r="M306" s="31" t="s">
        <v>837</v>
      </c>
      <c r="N306" s="32"/>
      <c r="O306" s="32"/>
      <c r="P306" s="32"/>
      <c r="Q306" s="33"/>
      <c r="R306" s="10">
        <f>LEN(M306)</f>
        <v>9</v>
      </c>
      <c r="S306" s="10">
        <f>MOD(R306,2)*4+FLOOR(R306/2,1)*6</f>
        <v>28</v>
      </c>
      <c r="T306" s="12" t="str">
        <f>IF(T305&lt;I302,"有效","无效")</f>
        <v>有效</v>
      </c>
    </row>
    <row r="307" spans="1:20" ht="20" customHeight="1">
      <c r="A307" s="22">
        <v>62</v>
      </c>
      <c r="B307" s="23" t="s">
        <v>97</v>
      </c>
      <c r="C307" s="24" t="s">
        <v>95</v>
      </c>
      <c r="D307" s="14">
        <f>LEN($B307)</f>
        <v>4</v>
      </c>
      <c r="E307" s="14">
        <f>LEN(C307)+3</f>
        <v>5</v>
      </c>
      <c r="F307" s="14">
        <f>MOD(D307,2)*4+FLOOR(D307/2,1)*6</f>
        <v>12</v>
      </c>
      <c r="G307" s="14">
        <f>MOD(E307,2)*4+FLOOR(E307/2,1)*6</f>
        <v>16</v>
      </c>
      <c r="H307" s="14">
        <v>12</v>
      </c>
      <c r="I307" s="14">
        <f>108-H307-G307-F307</f>
        <v>68</v>
      </c>
      <c r="J307" s="30"/>
    </row>
    <row r="308" spans="1:20" ht="20" customHeight="1">
      <c r="A308" s="22"/>
      <c r="B308" s="6" t="str">
        <f>IF(H308&lt;=12,"有效","无效")</f>
        <v>有效</v>
      </c>
      <c r="C308" s="34" t="s">
        <v>2094</v>
      </c>
      <c r="D308" s="35"/>
      <c r="E308" s="35"/>
      <c r="F308" s="35"/>
      <c r="G308" s="36"/>
      <c r="H308" s="4">
        <f>LEN(C308)</f>
        <v>2</v>
      </c>
      <c r="I308" s="11">
        <f>MOD(H308,2)*4+FLOOR(H308/2,1)*6</f>
        <v>6</v>
      </c>
      <c r="J308" s="12">
        <f>I308+I309</f>
        <v>16</v>
      </c>
      <c r="K308" s="20"/>
      <c r="L308" s="13" t="str">
        <f>IF(R308&lt;=12,"有效","无效")</f>
        <v>有效</v>
      </c>
      <c r="M308" s="32" t="s">
        <v>843</v>
      </c>
      <c r="N308" s="32"/>
      <c r="O308" s="32"/>
      <c r="P308" s="32"/>
      <c r="Q308" s="33"/>
      <c r="R308" s="10">
        <f>LEN(M308)</f>
        <v>8</v>
      </c>
      <c r="S308" s="10">
        <f>MOD(R308,2)*4+FLOOR(R308/2,1)*6</f>
        <v>24</v>
      </c>
      <c r="T308" s="12">
        <f>S308+S309</f>
        <v>52</v>
      </c>
    </row>
    <row r="309" spans="1:20" ht="20" customHeight="1">
      <c r="A309" s="22"/>
      <c r="B309" s="6" t="str">
        <f>IF(H309&lt;=12,"有效","无效")</f>
        <v>有效</v>
      </c>
      <c r="C309" s="34" t="s">
        <v>2095</v>
      </c>
      <c r="D309" s="35"/>
      <c r="E309" s="35"/>
      <c r="F309" s="35"/>
      <c r="G309" s="36"/>
      <c r="H309" s="4">
        <f>LEN(C309)</f>
        <v>3</v>
      </c>
      <c r="I309" s="11">
        <f>MOD(H309,2)*4+FLOOR(H309/2,1)*6</f>
        <v>10</v>
      </c>
      <c r="J309" s="12" t="str">
        <f>IF(J308&lt;I307,"有效","无效")</f>
        <v>有效</v>
      </c>
      <c r="K309" s="20"/>
      <c r="L309" s="6" t="str">
        <f>IF(R309&lt;=12,"有效","无效")</f>
        <v>有效</v>
      </c>
      <c r="M309" s="31" t="s">
        <v>844</v>
      </c>
      <c r="N309" s="32"/>
      <c r="O309" s="32"/>
      <c r="P309" s="32"/>
      <c r="Q309" s="33"/>
      <c r="R309" s="10">
        <f>LEN(M309)</f>
        <v>9</v>
      </c>
      <c r="S309" s="10">
        <f>MOD(R309,2)*4+FLOOR(R309/2,1)*6</f>
        <v>28</v>
      </c>
      <c r="T309" s="12" t="str">
        <f>IF(T308&lt;I307,"有效","无效")</f>
        <v>有效</v>
      </c>
    </row>
    <row r="310" spans="1:20" ht="20" customHeight="1">
      <c r="A310" s="22"/>
      <c r="B310" s="6" t="str">
        <f>IF(H310&lt;=12,"有效","无效")</f>
        <v>有效</v>
      </c>
      <c r="C310" s="34" t="s">
        <v>2093</v>
      </c>
      <c r="D310" s="35"/>
      <c r="E310" s="35"/>
      <c r="F310" s="35"/>
      <c r="G310" s="36"/>
      <c r="H310" s="4">
        <f>LEN(C310)</f>
        <v>10</v>
      </c>
      <c r="I310" s="11">
        <f>MOD(H310,2)*4+FLOOR(H310/2,1)*6</f>
        <v>30</v>
      </c>
      <c r="J310" s="12">
        <f>I310+I311</f>
        <v>48</v>
      </c>
      <c r="K310" s="20"/>
      <c r="L310" s="6" t="str">
        <f>IF(R310&lt;=12,"有效","无效")</f>
        <v>有效</v>
      </c>
      <c r="M310" s="31" t="s">
        <v>845</v>
      </c>
      <c r="N310" s="32"/>
      <c r="O310" s="32"/>
      <c r="P310" s="32"/>
      <c r="Q310" s="33"/>
      <c r="R310" s="10">
        <f>LEN(M310)</f>
        <v>5</v>
      </c>
      <c r="S310" s="10">
        <f>MOD(R310,2)*4+FLOOR(R310/2,1)*6</f>
        <v>16</v>
      </c>
      <c r="T310" s="12">
        <f>S310+S311</f>
        <v>38</v>
      </c>
    </row>
    <row r="311" spans="1:20" ht="20" customHeight="1">
      <c r="A311" s="22"/>
      <c r="B311" s="6" t="str">
        <f>IF(H311&lt;=12,"有效","无效")</f>
        <v>有效</v>
      </c>
      <c r="C311" s="34" t="s">
        <v>842</v>
      </c>
      <c r="D311" s="35"/>
      <c r="E311" s="35"/>
      <c r="F311" s="35"/>
      <c r="G311" s="36"/>
      <c r="H311" s="4">
        <f>LEN(C311)</f>
        <v>6</v>
      </c>
      <c r="I311" s="11">
        <f>MOD(H311,2)*4+FLOOR(H311/2,1)*6</f>
        <v>18</v>
      </c>
      <c r="J311" s="12" t="str">
        <f>IF(J310&lt;I307,"有效","无效")</f>
        <v>有效</v>
      </c>
      <c r="K311" s="20"/>
      <c r="L311" s="6" t="str">
        <f>IF(R311&lt;=12,"有效","无效")</f>
        <v>有效</v>
      </c>
      <c r="M311" s="31" t="s">
        <v>846</v>
      </c>
      <c r="N311" s="32"/>
      <c r="O311" s="32"/>
      <c r="P311" s="32"/>
      <c r="Q311" s="33"/>
      <c r="R311" s="10">
        <f>LEN(M311)</f>
        <v>7</v>
      </c>
      <c r="S311" s="10">
        <f>MOD(R311,2)*4+FLOOR(R311/2,1)*6</f>
        <v>22</v>
      </c>
      <c r="T311" s="12" t="str">
        <f>IF(T310&lt;I307,"有效","无效")</f>
        <v>有效</v>
      </c>
    </row>
    <row r="312" spans="1:20" ht="20" customHeight="1">
      <c r="A312" s="22">
        <v>63</v>
      </c>
      <c r="B312" s="23" t="s">
        <v>98</v>
      </c>
      <c r="C312" s="24" t="s">
        <v>99</v>
      </c>
      <c r="D312" s="14">
        <f>LEN($B312)</f>
        <v>2</v>
      </c>
      <c r="E312" s="14">
        <f>LEN(C312)+3</f>
        <v>5</v>
      </c>
      <c r="F312" s="14">
        <f>MOD(D312,2)*4+FLOOR(D312/2,1)*6</f>
        <v>6</v>
      </c>
      <c r="G312" s="14">
        <f>MOD(E312,2)*4+FLOOR(E312/2,1)*6</f>
        <v>16</v>
      </c>
      <c r="H312" s="14">
        <v>12</v>
      </c>
      <c r="I312" s="14">
        <f>108-H312-G312-F312</f>
        <v>74</v>
      </c>
      <c r="J312" s="30"/>
    </row>
    <row r="313" spans="1:20" ht="20" customHeight="1">
      <c r="A313" s="22"/>
      <c r="B313" s="6" t="str">
        <f>IF(H313&lt;=12,"有效","无效")</f>
        <v>有效</v>
      </c>
      <c r="C313" s="31" t="s">
        <v>2098</v>
      </c>
      <c r="D313" s="32"/>
      <c r="E313" s="32"/>
      <c r="F313" s="32"/>
      <c r="G313" s="33"/>
      <c r="H313" s="4">
        <f>LEN(C313)</f>
        <v>3</v>
      </c>
      <c r="I313" s="11">
        <f>MOD(H313,2)*4+FLOOR(H313/2,1)*6</f>
        <v>10</v>
      </c>
      <c r="J313" s="12">
        <f>I313+I314</f>
        <v>28</v>
      </c>
      <c r="K313" s="20"/>
      <c r="L313" s="13" t="str">
        <f>IF(R313&lt;=12,"有效","无效")</f>
        <v>有效</v>
      </c>
      <c r="M313" s="35" t="s">
        <v>847</v>
      </c>
      <c r="N313" s="35"/>
      <c r="O313" s="35"/>
      <c r="P313" s="35"/>
      <c r="Q313" s="36"/>
      <c r="R313" s="10">
        <f>LEN(M313)</f>
        <v>6</v>
      </c>
      <c r="S313" s="10">
        <f>MOD(R313,2)*4+FLOOR(R313/2,1)*6</f>
        <v>18</v>
      </c>
      <c r="T313" s="12">
        <f>S313+S314</f>
        <v>48</v>
      </c>
    </row>
    <row r="314" spans="1:20" ht="20" customHeight="1">
      <c r="A314" s="22"/>
      <c r="B314" s="6" t="str">
        <f>IF(H314&lt;=12,"有效","无效")</f>
        <v>有效</v>
      </c>
      <c r="C314" s="31" t="s">
        <v>2099</v>
      </c>
      <c r="D314" s="32"/>
      <c r="E314" s="32"/>
      <c r="F314" s="32"/>
      <c r="G314" s="33"/>
      <c r="H314" s="4">
        <f>LEN(C314)</f>
        <v>6</v>
      </c>
      <c r="I314" s="11">
        <f>MOD(H314,2)*4+FLOOR(H314/2,1)*6</f>
        <v>18</v>
      </c>
      <c r="J314" s="12" t="str">
        <f>IF(J313&lt;I312,"有效","无效")</f>
        <v>有效</v>
      </c>
      <c r="K314" s="20"/>
      <c r="L314" s="6" t="str">
        <f>IF(R314&lt;=12,"有效","无效")</f>
        <v>有效</v>
      </c>
      <c r="M314" s="34" t="s">
        <v>848</v>
      </c>
      <c r="N314" s="35"/>
      <c r="O314" s="35"/>
      <c r="P314" s="35"/>
      <c r="Q314" s="36"/>
      <c r="R314" s="10">
        <f>LEN(M314)</f>
        <v>10</v>
      </c>
      <c r="S314" s="10">
        <f>MOD(R314,2)*4+FLOOR(R314/2,1)*6</f>
        <v>30</v>
      </c>
      <c r="T314" s="12" t="str">
        <f>IF(T313&lt;I312,"有效","无效")</f>
        <v>有效</v>
      </c>
    </row>
    <row r="315" spans="1:20" ht="20" customHeight="1">
      <c r="A315" s="22"/>
      <c r="B315" s="6" t="str">
        <f>IF(H315&lt;=12,"有效","无效")</f>
        <v>有效</v>
      </c>
      <c r="C315" s="31" t="s">
        <v>2096</v>
      </c>
      <c r="D315" s="32"/>
      <c r="E315" s="32"/>
      <c r="F315" s="32"/>
      <c r="G315" s="33"/>
      <c r="H315" s="4">
        <f>LEN(C315)</f>
        <v>11</v>
      </c>
      <c r="I315" s="11">
        <f>MOD(H315,2)*4+FLOOR(H315/2,1)*6</f>
        <v>34</v>
      </c>
      <c r="J315" s="12">
        <f>I315+I316</f>
        <v>68</v>
      </c>
      <c r="K315" s="20"/>
      <c r="L315" s="6" t="str">
        <f>IF(R315&lt;=12,"有效","无效")</f>
        <v>有效</v>
      </c>
      <c r="M315" s="34" t="s">
        <v>849</v>
      </c>
      <c r="N315" s="35"/>
      <c r="O315" s="35"/>
      <c r="P315" s="35"/>
      <c r="Q315" s="36"/>
      <c r="R315" s="10">
        <f>LEN(M315)</f>
        <v>6</v>
      </c>
      <c r="S315" s="10">
        <f>MOD(R315,2)*4+FLOOR(R315/2,1)*6</f>
        <v>18</v>
      </c>
      <c r="T315" s="12">
        <f>S315+S316</f>
        <v>36</v>
      </c>
    </row>
    <row r="316" spans="1:20" ht="20" customHeight="1">
      <c r="A316" s="22"/>
      <c r="B316" s="6" t="str">
        <f>IF(H316&lt;=12,"有效","无效")</f>
        <v>有效</v>
      </c>
      <c r="C316" s="31" t="s">
        <v>2097</v>
      </c>
      <c r="D316" s="32"/>
      <c r="E316" s="32"/>
      <c r="F316" s="32"/>
      <c r="G316" s="33"/>
      <c r="H316" s="4">
        <f>LEN(C316)</f>
        <v>11</v>
      </c>
      <c r="I316" s="11">
        <f>MOD(H316,2)*4+FLOOR(H316/2,1)*6</f>
        <v>34</v>
      </c>
      <c r="J316" s="12" t="str">
        <f>IF(J315&lt;I312,"有效","无效")</f>
        <v>有效</v>
      </c>
      <c r="K316" s="20"/>
      <c r="L316" s="6" t="str">
        <f>IF(R316&lt;=12,"有效","无效")</f>
        <v>有效</v>
      </c>
      <c r="M316" s="34" t="s">
        <v>850</v>
      </c>
      <c r="N316" s="35"/>
      <c r="O316" s="35"/>
      <c r="P316" s="35"/>
      <c r="Q316" s="36"/>
      <c r="R316" s="10">
        <f>LEN(M316)</f>
        <v>6</v>
      </c>
      <c r="S316" s="10">
        <f>MOD(R316,2)*4+FLOOR(R316/2,1)*6</f>
        <v>18</v>
      </c>
      <c r="T316" s="12" t="str">
        <f>IF(T315&lt;I312,"有效","无效")</f>
        <v>有效</v>
      </c>
    </row>
    <row r="317" spans="1:20" ht="20" customHeight="1">
      <c r="A317" s="22">
        <v>64</v>
      </c>
      <c r="B317" s="23" t="s">
        <v>100</v>
      </c>
      <c r="C317" s="24" t="s">
        <v>99</v>
      </c>
      <c r="D317" s="14">
        <f>LEN($B317)</f>
        <v>3</v>
      </c>
      <c r="E317" s="14">
        <f>LEN(C317)+3</f>
        <v>5</v>
      </c>
      <c r="F317" s="14">
        <f>MOD(D317,2)*4+FLOOR(D317/2,1)*6</f>
        <v>10</v>
      </c>
      <c r="G317" s="14">
        <f>MOD(E317,2)*4+FLOOR(E317/2,1)*6</f>
        <v>16</v>
      </c>
      <c r="H317" s="14">
        <v>12</v>
      </c>
      <c r="I317" s="14">
        <f>108-H317-G317-F317</f>
        <v>70</v>
      </c>
      <c r="J317" s="30"/>
    </row>
    <row r="318" spans="1:20" ht="20" customHeight="1">
      <c r="A318" s="22"/>
      <c r="B318" s="6" t="str">
        <f>IF(H318&lt;=12,"有效","无效")</f>
        <v>有效</v>
      </c>
      <c r="C318" s="34" t="s">
        <v>2101</v>
      </c>
      <c r="D318" s="35"/>
      <c r="E318" s="35"/>
      <c r="F318" s="35"/>
      <c r="G318" s="36"/>
      <c r="H318" s="4">
        <f>LEN(C318)</f>
        <v>8</v>
      </c>
      <c r="I318" s="11">
        <f>MOD(H318,2)*4+FLOOR(H318/2,1)*6</f>
        <v>24</v>
      </c>
      <c r="J318" s="12">
        <f>I318+I319</f>
        <v>36</v>
      </c>
      <c r="K318" s="20"/>
      <c r="L318" s="13" t="str">
        <f>IF(R318&lt;=12,"有效","无效")</f>
        <v>有效</v>
      </c>
      <c r="M318" s="32" t="s">
        <v>2282</v>
      </c>
      <c r="N318" s="32"/>
      <c r="O318" s="32"/>
      <c r="P318" s="32"/>
      <c r="Q318" s="33"/>
      <c r="R318" s="10">
        <f>LEN(M318)</f>
        <v>2</v>
      </c>
      <c r="S318" s="10">
        <f>MOD(R318,2)*4+FLOOR(R318/2,1)*6</f>
        <v>6</v>
      </c>
      <c r="T318" s="12">
        <f>S318+S319</f>
        <v>24</v>
      </c>
    </row>
    <row r="319" spans="1:20" ht="20" customHeight="1">
      <c r="A319" s="22"/>
      <c r="B319" s="6" t="str">
        <f>IF(H319&lt;=12,"有效","无效")</f>
        <v>有效</v>
      </c>
      <c r="C319" s="34" t="s">
        <v>2100</v>
      </c>
      <c r="D319" s="35"/>
      <c r="E319" s="35"/>
      <c r="F319" s="35"/>
      <c r="G319" s="36"/>
      <c r="H319" s="4">
        <f>LEN(C319)</f>
        <v>4</v>
      </c>
      <c r="I319" s="11">
        <f>MOD(H319,2)*4+FLOOR(H319/2,1)*6</f>
        <v>12</v>
      </c>
      <c r="J319" s="12" t="str">
        <f>IF(J318&lt;I317,"有效","无效")</f>
        <v>有效</v>
      </c>
      <c r="K319" s="20"/>
      <c r="L319" s="6" t="str">
        <f>IF(R319&lt;=12,"有效","无效")</f>
        <v>有效</v>
      </c>
      <c r="M319" s="31" t="s">
        <v>2283</v>
      </c>
      <c r="N319" s="32"/>
      <c r="O319" s="32"/>
      <c r="P319" s="32"/>
      <c r="Q319" s="33"/>
      <c r="R319" s="10">
        <f>LEN(M319)</f>
        <v>6</v>
      </c>
      <c r="S319" s="10">
        <f>MOD(R319,2)*4+FLOOR(R319/2,1)*6</f>
        <v>18</v>
      </c>
      <c r="T319" s="12" t="str">
        <f>IF(T318&lt;I317,"有效","无效")</f>
        <v>有效</v>
      </c>
    </row>
    <row r="320" spans="1:20" ht="20" customHeight="1">
      <c r="A320" s="22"/>
      <c r="B320" s="6" t="str">
        <f>IF(H320&lt;=12,"有效","无效")</f>
        <v>有效</v>
      </c>
      <c r="C320" s="34" t="s">
        <v>851</v>
      </c>
      <c r="D320" s="35"/>
      <c r="E320" s="35"/>
      <c r="F320" s="35"/>
      <c r="G320" s="36"/>
      <c r="H320" s="4">
        <f>LEN(C320)</f>
        <v>8</v>
      </c>
      <c r="I320" s="11">
        <f>MOD(H320,2)*4+FLOOR(H320/2,1)*6</f>
        <v>24</v>
      </c>
      <c r="J320" s="12">
        <f>I320+I321</f>
        <v>54</v>
      </c>
      <c r="K320" s="20"/>
      <c r="L320" s="6" t="str">
        <f>IF(R320&lt;=12,"有效","无效")</f>
        <v>有效</v>
      </c>
      <c r="M320" s="31" t="s">
        <v>2281</v>
      </c>
      <c r="N320" s="32"/>
      <c r="O320" s="32"/>
      <c r="P320" s="32"/>
      <c r="Q320" s="33"/>
      <c r="R320" s="10">
        <f>LEN(M320)</f>
        <v>12</v>
      </c>
      <c r="S320" s="10">
        <f>MOD(R320,2)*4+FLOOR(R320/2,1)*6</f>
        <v>36</v>
      </c>
      <c r="T320" s="12">
        <f>S320+S321</f>
        <v>58</v>
      </c>
    </row>
    <row r="321" spans="1:20" ht="20" customHeight="1">
      <c r="A321" s="22"/>
      <c r="B321" s="6" t="str">
        <f>IF(H321&lt;=12,"有效","无效")</f>
        <v>有效</v>
      </c>
      <c r="C321" s="34" t="s">
        <v>852</v>
      </c>
      <c r="D321" s="35"/>
      <c r="E321" s="35"/>
      <c r="F321" s="35"/>
      <c r="G321" s="36"/>
      <c r="H321" s="4">
        <f>LEN(C321)</f>
        <v>10</v>
      </c>
      <c r="I321" s="11">
        <f>MOD(H321,2)*4+FLOOR(H321/2,1)*6</f>
        <v>30</v>
      </c>
      <c r="J321" s="12" t="str">
        <f>IF(J320&lt;I317,"有效","无效")</f>
        <v>有效</v>
      </c>
      <c r="K321" s="20"/>
      <c r="L321" s="6" t="str">
        <f>IF(R321&lt;=12,"有效","无效")</f>
        <v>有效</v>
      </c>
      <c r="M321" s="31" t="s">
        <v>853</v>
      </c>
      <c r="N321" s="32"/>
      <c r="O321" s="32"/>
      <c r="P321" s="32"/>
      <c r="Q321" s="33"/>
      <c r="R321" s="10">
        <f>LEN(M321)</f>
        <v>7</v>
      </c>
      <c r="S321" s="10">
        <f>MOD(R321,2)*4+FLOOR(R321/2,1)*6</f>
        <v>22</v>
      </c>
      <c r="T321" s="12" t="str">
        <f>IF(T320&lt;I317,"有效","无效")</f>
        <v>有效</v>
      </c>
    </row>
    <row r="322" spans="1:20" ht="20" customHeight="1">
      <c r="A322" s="22">
        <v>65</v>
      </c>
      <c r="B322" s="23" t="s">
        <v>101</v>
      </c>
      <c r="C322" s="24" t="s">
        <v>99</v>
      </c>
      <c r="D322" s="14">
        <f>LEN($B322)</f>
        <v>2</v>
      </c>
      <c r="E322" s="14">
        <f>LEN(C322)+3</f>
        <v>5</v>
      </c>
      <c r="F322" s="14">
        <f>MOD(D322,2)*4+FLOOR(D322/2,1)*6</f>
        <v>6</v>
      </c>
      <c r="G322" s="14">
        <f>MOD(E322,2)*4+FLOOR(E322/2,1)*6</f>
        <v>16</v>
      </c>
      <c r="H322" s="14">
        <v>12</v>
      </c>
      <c r="I322" s="14">
        <f>108-H322-G322-F322</f>
        <v>74</v>
      </c>
      <c r="J322" s="30"/>
    </row>
    <row r="323" spans="1:20" ht="20" customHeight="1">
      <c r="A323" s="22"/>
      <c r="B323" s="6" t="str">
        <f>IF(H323&lt;=12,"有效","无效")</f>
        <v>有效</v>
      </c>
      <c r="C323" s="34" t="s">
        <v>573</v>
      </c>
      <c r="D323" s="35"/>
      <c r="E323" s="35"/>
      <c r="F323" s="35"/>
      <c r="G323" s="36"/>
      <c r="H323" s="4">
        <f>LEN(C323)</f>
        <v>2</v>
      </c>
      <c r="I323" s="11">
        <f>MOD(H323,2)*4+FLOOR(H323/2,1)*6</f>
        <v>6</v>
      </c>
      <c r="J323" s="12">
        <f>I323+I324</f>
        <v>22</v>
      </c>
      <c r="K323" s="20"/>
      <c r="L323" s="13" t="str">
        <f>IF(R323&lt;=12,"有效","无效")</f>
        <v>有效</v>
      </c>
      <c r="M323" s="32" t="s">
        <v>854</v>
      </c>
      <c r="N323" s="32"/>
      <c r="O323" s="32"/>
      <c r="P323" s="32"/>
      <c r="Q323" s="33"/>
      <c r="R323" s="10">
        <f>LEN(M323)</f>
        <v>5</v>
      </c>
      <c r="S323" s="10">
        <f>MOD(R323,2)*4+FLOOR(R323/2,1)*6</f>
        <v>16</v>
      </c>
      <c r="T323" s="12">
        <f>S323+S324</f>
        <v>34</v>
      </c>
    </row>
    <row r="324" spans="1:20" ht="20" customHeight="1">
      <c r="A324" s="22"/>
      <c r="B324" s="6" t="str">
        <f>IF(H324&lt;=12,"有效","无效")</f>
        <v>有效</v>
      </c>
      <c r="C324" s="34" t="s">
        <v>2104</v>
      </c>
      <c r="D324" s="35"/>
      <c r="E324" s="35"/>
      <c r="F324" s="35"/>
      <c r="G324" s="36"/>
      <c r="H324" s="4">
        <f>LEN(C324)</f>
        <v>5</v>
      </c>
      <c r="I324" s="11">
        <f>MOD(H324,2)*4+FLOOR(H324/2,1)*6</f>
        <v>16</v>
      </c>
      <c r="J324" s="12" t="str">
        <f>IF(J323&lt;I322,"有效","无效")</f>
        <v>有效</v>
      </c>
      <c r="K324" s="20"/>
      <c r="L324" s="6" t="str">
        <f>IF(R324&lt;=12,"有效","无效")</f>
        <v>有效</v>
      </c>
      <c r="M324" s="31" t="s">
        <v>855</v>
      </c>
      <c r="N324" s="32"/>
      <c r="O324" s="32"/>
      <c r="P324" s="32"/>
      <c r="Q324" s="33"/>
      <c r="R324" s="10">
        <f>LEN(M324)</f>
        <v>6</v>
      </c>
      <c r="S324" s="10">
        <f>MOD(R324,2)*4+FLOOR(R324/2,1)*6</f>
        <v>18</v>
      </c>
      <c r="T324" s="12" t="str">
        <f>IF(T323&lt;I322,"有效","无效")</f>
        <v>有效</v>
      </c>
    </row>
    <row r="325" spans="1:20" ht="20" customHeight="1">
      <c r="A325" s="22"/>
      <c r="B325" s="6" t="str">
        <f>IF(H325&lt;=12,"有效","无效")</f>
        <v>有效</v>
      </c>
      <c r="C325" s="34" t="s">
        <v>2103</v>
      </c>
      <c r="D325" s="35"/>
      <c r="E325" s="35"/>
      <c r="F325" s="35"/>
      <c r="G325" s="36"/>
      <c r="H325" s="4">
        <f>LEN(C325)</f>
        <v>11</v>
      </c>
      <c r="I325" s="11">
        <f>MOD(H325,2)*4+FLOOR(H325/2,1)*6</f>
        <v>34</v>
      </c>
      <c r="J325" s="12">
        <f>I325+I326</f>
        <v>70</v>
      </c>
      <c r="K325" s="20"/>
      <c r="L325" s="6" t="str">
        <f>IF(R325&lt;=12,"有效","无效")</f>
        <v>有效</v>
      </c>
      <c r="M325" s="31" t="s">
        <v>856</v>
      </c>
      <c r="N325" s="32"/>
      <c r="O325" s="32"/>
      <c r="P325" s="32"/>
      <c r="Q325" s="33"/>
      <c r="R325" s="10">
        <f>LEN(M325)</f>
        <v>12</v>
      </c>
      <c r="S325" s="10">
        <f>MOD(R325,2)*4+FLOOR(R325/2,1)*6</f>
        <v>36</v>
      </c>
      <c r="T325" s="12">
        <f>S325+S326</f>
        <v>70</v>
      </c>
    </row>
    <row r="326" spans="1:20" ht="20" customHeight="1">
      <c r="A326" s="22"/>
      <c r="B326" s="6" t="str">
        <f>IF(H326&lt;=12,"有效","无效")</f>
        <v>有效</v>
      </c>
      <c r="C326" s="34" t="s">
        <v>2102</v>
      </c>
      <c r="D326" s="35"/>
      <c r="E326" s="35"/>
      <c r="F326" s="35"/>
      <c r="G326" s="36"/>
      <c r="H326" s="4">
        <f>LEN(C326)</f>
        <v>12</v>
      </c>
      <c r="I326" s="11">
        <f>MOD(H326,2)*4+FLOOR(H326/2,1)*6</f>
        <v>36</v>
      </c>
      <c r="J326" s="12" t="str">
        <f>IF(J325&lt;I322,"有效","无效")</f>
        <v>有效</v>
      </c>
      <c r="K326" s="20"/>
      <c r="L326" s="6" t="str">
        <f>IF(R326&lt;=12,"有效","无效")</f>
        <v>有效</v>
      </c>
      <c r="M326" s="31" t="s">
        <v>857</v>
      </c>
      <c r="N326" s="32"/>
      <c r="O326" s="32"/>
      <c r="P326" s="32"/>
      <c r="Q326" s="33"/>
      <c r="R326" s="10">
        <f>LEN(M326)</f>
        <v>11</v>
      </c>
      <c r="S326" s="10">
        <f>MOD(R326,2)*4+FLOOR(R326/2,1)*6</f>
        <v>34</v>
      </c>
      <c r="T326" s="12" t="str">
        <f>IF(T325&lt;I322,"有效","无效")</f>
        <v>有效</v>
      </c>
    </row>
    <row r="327" spans="1:20" ht="20" customHeight="1">
      <c r="A327" s="22">
        <v>66</v>
      </c>
      <c r="B327" s="23" t="s">
        <v>102</v>
      </c>
      <c r="C327" s="24" t="s">
        <v>103</v>
      </c>
      <c r="D327" s="14">
        <f>LEN($B327)</f>
        <v>2</v>
      </c>
      <c r="E327" s="14">
        <f>LEN(C327)+3</f>
        <v>5</v>
      </c>
      <c r="F327" s="14">
        <f>MOD(D327,2)*4+FLOOR(D327/2,1)*6</f>
        <v>6</v>
      </c>
      <c r="G327" s="14">
        <f>MOD(E327,2)*4+FLOOR(E327/2,1)*6</f>
        <v>16</v>
      </c>
      <c r="H327" s="14">
        <v>12</v>
      </c>
      <c r="I327" s="14">
        <f>108-H327-G327-F327</f>
        <v>74</v>
      </c>
    </row>
    <row r="328" spans="1:20" ht="20" customHeight="1">
      <c r="A328" s="22"/>
      <c r="B328" s="6" t="str">
        <f>IF(H328&lt;=12,"有效","无效")</f>
        <v>有效</v>
      </c>
      <c r="C328" s="31" t="s">
        <v>858</v>
      </c>
      <c r="D328" s="32"/>
      <c r="E328" s="32"/>
      <c r="F328" s="32"/>
      <c r="G328" s="33"/>
      <c r="H328" s="4">
        <f>LEN(C328)</f>
        <v>10</v>
      </c>
      <c r="I328" s="11">
        <f>MOD(H328,2)*4+FLOOR(H328/2,1)*6</f>
        <v>30</v>
      </c>
      <c r="J328" s="12">
        <f>I328+I329</f>
        <v>52</v>
      </c>
      <c r="K328" s="20"/>
      <c r="L328" s="13" t="str">
        <f>IF(R328&lt;=12,"有效","无效")</f>
        <v>有效</v>
      </c>
      <c r="M328" s="35" t="s">
        <v>771</v>
      </c>
      <c r="N328" s="35"/>
      <c r="O328" s="35"/>
      <c r="P328" s="35"/>
      <c r="Q328" s="36"/>
      <c r="R328" s="10">
        <f>LEN(M328)</f>
        <v>4</v>
      </c>
      <c r="S328" s="10">
        <f>MOD(R328,2)*4+FLOOR(R328/2,1)*6</f>
        <v>12</v>
      </c>
      <c r="T328" s="12">
        <f>S328+S329</f>
        <v>28</v>
      </c>
    </row>
    <row r="329" spans="1:20" ht="20" customHeight="1">
      <c r="A329" s="22"/>
      <c r="B329" s="6" t="str">
        <f>IF(H329&lt;=12,"有效","无效")</f>
        <v>有效</v>
      </c>
      <c r="C329" s="31" t="s">
        <v>859</v>
      </c>
      <c r="D329" s="32"/>
      <c r="E329" s="32"/>
      <c r="F329" s="32"/>
      <c r="G329" s="33"/>
      <c r="H329" s="4">
        <f>LEN(C329)</f>
        <v>7</v>
      </c>
      <c r="I329" s="11">
        <f>MOD(H329,2)*4+FLOOR(H329/2,1)*6</f>
        <v>22</v>
      </c>
      <c r="J329" s="12" t="str">
        <f>IF(J328&lt;I327,"有效","无效")</f>
        <v>有效</v>
      </c>
      <c r="K329" s="20"/>
      <c r="L329" s="6" t="str">
        <f>IF(R329&lt;=12,"有效","无效")</f>
        <v>有效</v>
      </c>
      <c r="M329" s="34" t="s">
        <v>2286</v>
      </c>
      <c r="N329" s="35"/>
      <c r="O329" s="35"/>
      <c r="P329" s="35"/>
      <c r="Q329" s="36"/>
      <c r="R329" s="10">
        <f>LEN(M329)</f>
        <v>5</v>
      </c>
      <c r="S329" s="10">
        <f>MOD(R329,2)*4+FLOOR(R329/2,1)*6</f>
        <v>16</v>
      </c>
      <c r="T329" s="12" t="str">
        <f>IF(T328&lt;I327,"有效","无效")</f>
        <v>有效</v>
      </c>
    </row>
    <row r="330" spans="1:20" ht="20" customHeight="1">
      <c r="A330" s="22"/>
      <c r="B330" s="6" t="str">
        <f>IF(H330&lt;=12,"有效","无效")</f>
        <v>有效</v>
      </c>
      <c r="C330" s="31" t="s">
        <v>860</v>
      </c>
      <c r="D330" s="32"/>
      <c r="E330" s="32"/>
      <c r="F330" s="32"/>
      <c r="G330" s="33"/>
      <c r="H330" s="4">
        <f>LEN(C330)</f>
        <v>10</v>
      </c>
      <c r="I330" s="11">
        <f>MOD(H330,2)*4+FLOOR(H330/2,1)*6</f>
        <v>30</v>
      </c>
      <c r="J330" s="12">
        <f>I330+I331</f>
        <v>54</v>
      </c>
      <c r="K330" s="20"/>
      <c r="L330" s="6" t="str">
        <f>IF(R330&lt;=12,"有效","无效")</f>
        <v>有效</v>
      </c>
      <c r="M330" s="34" t="s">
        <v>2284</v>
      </c>
      <c r="N330" s="35"/>
      <c r="O330" s="35"/>
      <c r="P330" s="35"/>
      <c r="Q330" s="36"/>
      <c r="R330" s="10">
        <f>LEN(M330)</f>
        <v>11</v>
      </c>
      <c r="S330" s="10">
        <f>MOD(R330,2)*4+FLOOR(R330/2,1)*6</f>
        <v>34</v>
      </c>
      <c r="T330" s="12">
        <f>S330+S331</f>
        <v>62</v>
      </c>
    </row>
    <row r="331" spans="1:20" ht="20" customHeight="1">
      <c r="A331" s="22"/>
      <c r="B331" s="6" t="str">
        <f>IF(H331&lt;=12,"有效","无效")</f>
        <v>有效</v>
      </c>
      <c r="C331" s="31" t="s">
        <v>861</v>
      </c>
      <c r="D331" s="32"/>
      <c r="E331" s="32"/>
      <c r="F331" s="32"/>
      <c r="G331" s="33"/>
      <c r="H331" s="4">
        <f>LEN(C331)</f>
        <v>8</v>
      </c>
      <c r="I331" s="11">
        <f>MOD(H331,2)*4+FLOOR(H331/2,1)*6</f>
        <v>24</v>
      </c>
      <c r="J331" s="12" t="str">
        <f>IF(J330&lt;I327,"有效","无效")</f>
        <v>有效</v>
      </c>
      <c r="K331" s="20"/>
      <c r="L331" s="6" t="str">
        <f>IF(R331&lt;=12,"有效","无效")</f>
        <v>有效</v>
      </c>
      <c r="M331" s="34" t="s">
        <v>2285</v>
      </c>
      <c r="N331" s="35"/>
      <c r="O331" s="35"/>
      <c r="P331" s="35"/>
      <c r="Q331" s="36"/>
      <c r="R331" s="10">
        <f>LEN(M331)</f>
        <v>9</v>
      </c>
      <c r="S331" s="10">
        <f>MOD(R331,2)*4+FLOOR(R331/2,1)*6</f>
        <v>28</v>
      </c>
      <c r="T331" s="12" t="str">
        <f>IF(T330&lt;I327,"有效","无效")</f>
        <v>有效</v>
      </c>
    </row>
    <row r="332" spans="1:20" ht="20" customHeight="1">
      <c r="A332" s="22">
        <v>67</v>
      </c>
      <c r="B332" s="23" t="s">
        <v>104</v>
      </c>
      <c r="C332" s="24" t="s">
        <v>103</v>
      </c>
      <c r="D332" s="14">
        <f>LEN($B332)</f>
        <v>2</v>
      </c>
      <c r="E332" s="14">
        <f>LEN(C332)+3</f>
        <v>5</v>
      </c>
      <c r="F332" s="14">
        <f>MOD(D332,2)*4+FLOOR(D332/2,1)*6</f>
        <v>6</v>
      </c>
      <c r="G332" s="14">
        <f>MOD(E332,2)*4+FLOOR(E332/2,1)*6</f>
        <v>16</v>
      </c>
      <c r="H332" s="14">
        <v>12</v>
      </c>
      <c r="I332" s="14">
        <f>108-H332-G332-F332</f>
        <v>74</v>
      </c>
    </row>
    <row r="333" spans="1:20" ht="20" customHeight="1">
      <c r="A333" s="22"/>
      <c r="B333" s="6" t="str">
        <f>IF(H333&lt;=12,"有效","无效")</f>
        <v>有效</v>
      </c>
      <c r="C333" s="34" t="s">
        <v>862</v>
      </c>
      <c r="D333" s="35"/>
      <c r="E333" s="35"/>
      <c r="F333" s="35"/>
      <c r="G333" s="36"/>
      <c r="H333" s="4">
        <f>LEN(C333)</f>
        <v>6</v>
      </c>
      <c r="I333" s="11">
        <f>MOD(H333,2)*4+FLOOR(H333/2,1)*6</f>
        <v>18</v>
      </c>
      <c r="J333" s="12">
        <f>I333+I334</f>
        <v>36</v>
      </c>
      <c r="K333" s="20"/>
      <c r="L333" s="13" t="str">
        <f>IF(R333&lt;=12,"有效","无效")</f>
        <v>有效</v>
      </c>
      <c r="M333" s="35" t="s">
        <v>865</v>
      </c>
      <c r="N333" s="35"/>
      <c r="O333" s="35"/>
      <c r="P333" s="35"/>
      <c r="Q333" s="36"/>
      <c r="R333" s="10">
        <f>LEN(M333)</f>
        <v>5</v>
      </c>
      <c r="S333" s="10">
        <f>MOD(R333,2)*4+FLOOR(R333/2,1)*6</f>
        <v>16</v>
      </c>
      <c r="T333" s="12">
        <f>S333+S334</f>
        <v>38</v>
      </c>
    </row>
    <row r="334" spans="1:20" ht="20" customHeight="1">
      <c r="A334" s="22"/>
      <c r="B334" s="6" t="str">
        <f>IF(H334&lt;=12,"有效","无效")</f>
        <v>有效</v>
      </c>
      <c r="C334" s="34" t="s">
        <v>877</v>
      </c>
      <c r="D334" s="35"/>
      <c r="E334" s="35"/>
      <c r="F334" s="35"/>
      <c r="G334" s="36"/>
      <c r="H334" s="4">
        <f>LEN(C334)</f>
        <v>6</v>
      </c>
      <c r="I334" s="11">
        <f>MOD(H334,2)*4+FLOOR(H334/2,1)*6</f>
        <v>18</v>
      </c>
      <c r="J334" s="12" t="str">
        <f>IF(J333&lt;I332,"有效","无效")</f>
        <v>有效</v>
      </c>
      <c r="K334" s="20"/>
      <c r="L334" s="6" t="str">
        <f>IF(R334&lt;=12,"有效","无效")</f>
        <v>有效</v>
      </c>
      <c r="M334" s="34" t="s">
        <v>866</v>
      </c>
      <c r="N334" s="35"/>
      <c r="O334" s="35"/>
      <c r="P334" s="35"/>
      <c r="Q334" s="36"/>
      <c r="R334" s="10">
        <f>LEN(M334)</f>
        <v>7</v>
      </c>
      <c r="S334" s="10">
        <f>MOD(R334,2)*4+FLOOR(R334/2,1)*6</f>
        <v>22</v>
      </c>
      <c r="T334" s="12" t="str">
        <f>IF(T333&lt;I332,"有效","无效")</f>
        <v>有效</v>
      </c>
    </row>
    <row r="335" spans="1:20" ht="20" customHeight="1">
      <c r="A335" s="22"/>
      <c r="B335" s="6" t="str">
        <f>IF(H335&lt;=12,"有效","无效")</f>
        <v>有效</v>
      </c>
      <c r="C335" s="34" t="s">
        <v>863</v>
      </c>
      <c r="D335" s="35"/>
      <c r="E335" s="35"/>
      <c r="F335" s="35"/>
      <c r="G335" s="36"/>
      <c r="H335" s="4">
        <f>LEN(C335)</f>
        <v>8</v>
      </c>
      <c r="I335" s="11">
        <f>MOD(H335,2)*4+FLOOR(H335/2,1)*6</f>
        <v>24</v>
      </c>
      <c r="J335" s="12">
        <f>I335+I336</f>
        <v>54</v>
      </c>
      <c r="K335" s="20"/>
      <c r="L335" s="6" t="str">
        <f>IF(R335&lt;=12,"有效","无效")</f>
        <v>有效</v>
      </c>
      <c r="M335" s="34" t="s">
        <v>867</v>
      </c>
      <c r="N335" s="35"/>
      <c r="O335" s="35"/>
      <c r="P335" s="35"/>
      <c r="Q335" s="36"/>
      <c r="R335" s="10">
        <f>LEN(M335)</f>
        <v>8</v>
      </c>
      <c r="S335" s="10">
        <f>MOD(R335,2)*4+FLOOR(R335/2,1)*6</f>
        <v>24</v>
      </c>
      <c r="T335" s="12">
        <f>S335+S336</f>
        <v>54</v>
      </c>
    </row>
    <row r="336" spans="1:20" ht="20" customHeight="1">
      <c r="A336" s="22"/>
      <c r="B336" s="6" t="str">
        <f>IF(H336&lt;=12,"有效","无效")</f>
        <v>有效</v>
      </c>
      <c r="C336" s="34" t="s">
        <v>864</v>
      </c>
      <c r="D336" s="35"/>
      <c r="E336" s="35"/>
      <c r="F336" s="35"/>
      <c r="G336" s="36"/>
      <c r="H336" s="4">
        <f>LEN(C336)</f>
        <v>10</v>
      </c>
      <c r="I336" s="11">
        <f>MOD(H336,2)*4+FLOOR(H336/2,1)*6</f>
        <v>30</v>
      </c>
      <c r="J336" s="12" t="str">
        <f>IF(J335&lt;I332,"有效","无效")</f>
        <v>有效</v>
      </c>
      <c r="K336" s="20"/>
      <c r="L336" s="6" t="str">
        <f>IF(R336&lt;=12,"有效","无效")</f>
        <v>有效</v>
      </c>
      <c r="M336" s="34" t="s">
        <v>868</v>
      </c>
      <c r="N336" s="35"/>
      <c r="O336" s="35"/>
      <c r="P336" s="35"/>
      <c r="Q336" s="36"/>
      <c r="R336" s="10">
        <f>LEN(M336)</f>
        <v>10</v>
      </c>
      <c r="S336" s="10">
        <f>MOD(R336,2)*4+FLOOR(R336/2,1)*6</f>
        <v>30</v>
      </c>
      <c r="T336" s="12" t="str">
        <f>IF(T335&lt;I332,"有效","无效")</f>
        <v>有效</v>
      </c>
    </row>
    <row r="337" spans="1:20" ht="20" customHeight="1">
      <c r="A337" s="22">
        <v>68</v>
      </c>
      <c r="B337" s="23" t="s">
        <v>103</v>
      </c>
      <c r="C337" s="24" t="s">
        <v>103</v>
      </c>
      <c r="D337" s="14">
        <f>LEN($B337)</f>
        <v>2</v>
      </c>
      <c r="E337" s="14">
        <f>LEN(C337)+3</f>
        <v>5</v>
      </c>
      <c r="F337" s="14">
        <f>MOD(D337,2)*4+FLOOR(D337/2,1)*6</f>
        <v>6</v>
      </c>
      <c r="G337" s="14">
        <f>MOD(E337,2)*4+FLOOR(E337/2,1)*6</f>
        <v>16</v>
      </c>
      <c r="H337" s="14">
        <v>12</v>
      </c>
      <c r="I337" s="14">
        <f>108-H337-G337-F337</f>
        <v>74</v>
      </c>
    </row>
    <row r="338" spans="1:20" ht="20" customHeight="1">
      <c r="A338" s="22"/>
      <c r="B338" s="6" t="str">
        <f>IF(H338&lt;=12,"有效","无效")</f>
        <v>有效</v>
      </c>
      <c r="C338" s="31" t="s">
        <v>869</v>
      </c>
      <c r="D338" s="32"/>
      <c r="E338" s="32"/>
      <c r="F338" s="32"/>
      <c r="G338" s="33"/>
      <c r="H338" s="4">
        <f>LEN(C338)</f>
        <v>6</v>
      </c>
      <c r="I338" s="11">
        <f>MOD(H338,2)*4+FLOOR(H338/2,1)*6</f>
        <v>18</v>
      </c>
      <c r="J338" s="12">
        <f>I338+I339</f>
        <v>34</v>
      </c>
      <c r="K338" s="20"/>
      <c r="L338" s="13" t="str">
        <f>IF(R338&lt;=12,"有效","无效")</f>
        <v>有效</v>
      </c>
      <c r="M338" s="32" t="s">
        <v>873</v>
      </c>
      <c r="N338" s="32"/>
      <c r="O338" s="32"/>
      <c r="P338" s="32"/>
      <c r="Q338" s="33"/>
      <c r="R338" s="10">
        <f>LEN(M338)</f>
        <v>10</v>
      </c>
      <c r="S338" s="10">
        <f>MOD(R338,2)*4+FLOOR(R338/2,1)*6</f>
        <v>30</v>
      </c>
      <c r="T338" s="12">
        <f>S338+S339</f>
        <v>58</v>
      </c>
    </row>
    <row r="339" spans="1:20" ht="20" customHeight="1">
      <c r="A339" s="22"/>
      <c r="B339" s="6" t="str">
        <f>IF(H339&lt;=12,"有效","无效")</f>
        <v>有效</v>
      </c>
      <c r="C339" s="31" t="s">
        <v>870</v>
      </c>
      <c r="D339" s="32"/>
      <c r="E339" s="32"/>
      <c r="F339" s="32"/>
      <c r="G339" s="33"/>
      <c r="H339" s="4">
        <f>LEN(C339)</f>
        <v>5</v>
      </c>
      <c r="I339" s="11">
        <f>MOD(H339,2)*4+FLOOR(H339/2,1)*6</f>
        <v>16</v>
      </c>
      <c r="J339" s="12" t="str">
        <f>IF(J338&lt;I337,"有效","无效")</f>
        <v>有效</v>
      </c>
      <c r="K339" s="20"/>
      <c r="L339" s="6" t="str">
        <f>IF(R339&lt;=12,"有效","无效")</f>
        <v>有效</v>
      </c>
      <c r="M339" s="31" t="s">
        <v>874</v>
      </c>
      <c r="N339" s="32"/>
      <c r="O339" s="32"/>
      <c r="P339" s="32"/>
      <c r="Q339" s="33"/>
      <c r="R339" s="10">
        <f>LEN(M339)</f>
        <v>9</v>
      </c>
      <c r="S339" s="10">
        <f>MOD(R339,2)*4+FLOOR(R339/2,1)*6</f>
        <v>28</v>
      </c>
      <c r="T339" s="12" t="str">
        <f>IF(T338&lt;I337,"有效","无效")</f>
        <v>有效</v>
      </c>
    </row>
    <row r="340" spans="1:20" ht="20" customHeight="1">
      <c r="A340" s="22"/>
      <c r="B340" s="6" t="str">
        <f>IF(H340&lt;=12,"有效","无效")</f>
        <v>有效</v>
      </c>
      <c r="C340" s="31" t="s">
        <v>871</v>
      </c>
      <c r="D340" s="32"/>
      <c r="E340" s="32"/>
      <c r="F340" s="32"/>
      <c r="G340" s="33"/>
      <c r="H340" s="4">
        <f>LEN(C340)</f>
        <v>10</v>
      </c>
      <c r="I340" s="11">
        <f>MOD(H340,2)*4+FLOOR(H340/2,1)*6</f>
        <v>30</v>
      </c>
      <c r="J340" s="12">
        <f>I340+I341</f>
        <v>54</v>
      </c>
      <c r="K340" s="20"/>
      <c r="L340" s="6" t="str">
        <f>IF(R340&lt;=12,"有效","无效")</f>
        <v>有效</v>
      </c>
      <c r="M340" s="31" t="s">
        <v>876</v>
      </c>
      <c r="N340" s="32"/>
      <c r="O340" s="32"/>
      <c r="P340" s="32"/>
      <c r="Q340" s="33"/>
      <c r="R340" s="10">
        <f>LEN(M340)</f>
        <v>11</v>
      </c>
      <c r="S340" s="10">
        <f>MOD(R340,2)*4+FLOOR(R340/2,1)*6</f>
        <v>34</v>
      </c>
      <c r="T340" s="12">
        <f>S340+S341</f>
        <v>58</v>
      </c>
    </row>
    <row r="341" spans="1:20" ht="20" customHeight="1">
      <c r="A341" s="22"/>
      <c r="B341" s="6" t="str">
        <f>IF(H341&lt;=12,"有效","无效")</f>
        <v>有效</v>
      </c>
      <c r="C341" s="31" t="s">
        <v>872</v>
      </c>
      <c r="D341" s="32"/>
      <c r="E341" s="32"/>
      <c r="F341" s="32"/>
      <c r="G341" s="33"/>
      <c r="H341" s="4">
        <f>LEN(C341)</f>
        <v>8</v>
      </c>
      <c r="I341" s="11">
        <f>MOD(H341,2)*4+FLOOR(H341/2,1)*6</f>
        <v>24</v>
      </c>
      <c r="J341" s="12" t="str">
        <f>IF(J340&lt;I337,"有效","无效")</f>
        <v>有效</v>
      </c>
      <c r="K341" s="20"/>
      <c r="L341" s="6" t="str">
        <f>IF(R341&lt;=12,"有效","无效")</f>
        <v>有效</v>
      </c>
      <c r="M341" s="31" t="s">
        <v>875</v>
      </c>
      <c r="N341" s="32"/>
      <c r="O341" s="32"/>
      <c r="P341" s="32"/>
      <c r="Q341" s="33"/>
      <c r="R341" s="10">
        <f>LEN(M341)</f>
        <v>8</v>
      </c>
      <c r="S341" s="10">
        <f>MOD(R341,2)*4+FLOOR(R341/2,1)*6</f>
        <v>24</v>
      </c>
      <c r="T341" s="12" t="str">
        <f>IF(T340&lt;I337,"有效","无效")</f>
        <v>有效</v>
      </c>
    </row>
    <row r="342" spans="1:20" ht="20" customHeight="1">
      <c r="A342" s="22">
        <v>69</v>
      </c>
      <c r="B342" s="23" t="s">
        <v>105</v>
      </c>
      <c r="C342" s="24" t="s">
        <v>69</v>
      </c>
      <c r="D342" s="14">
        <f>LEN($B342)</f>
        <v>3</v>
      </c>
      <c r="E342" s="14">
        <f>LEN(C342)+3</f>
        <v>4</v>
      </c>
      <c r="F342" s="14">
        <f>MOD(D342,2)*4+FLOOR(D342/2,1)*6</f>
        <v>10</v>
      </c>
      <c r="G342" s="14">
        <f>MOD(E342,2)*4+FLOOR(E342/2,1)*6</f>
        <v>12</v>
      </c>
      <c r="H342" s="14">
        <v>12</v>
      </c>
      <c r="I342" s="14">
        <f>108-H342-G342-F342</f>
        <v>74</v>
      </c>
      <c r="J342" s="30"/>
    </row>
    <row r="343" spans="1:20" ht="20" customHeight="1">
      <c r="A343" s="22"/>
      <c r="B343" s="6" t="str">
        <f>IF(H343&lt;=12,"有效","无效")</f>
        <v>有效</v>
      </c>
      <c r="C343" s="31" t="s">
        <v>2106</v>
      </c>
      <c r="D343" s="32"/>
      <c r="E343" s="32"/>
      <c r="F343" s="32"/>
      <c r="G343" s="33"/>
      <c r="H343" s="4">
        <f>LEN(C343)</f>
        <v>2</v>
      </c>
      <c r="I343" s="11">
        <f>MOD(H343,2)*4+FLOOR(H343/2,1)*6</f>
        <v>6</v>
      </c>
      <c r="J343" s="12">
        <f>I343+I344</f>
        <v>22</v>
      </c>
      <c r="K343" s="20"/>
      <c r="L343" s="13" t="str">
        <f>IF(R343&lt;=12,"有效","无效")</f>
        <v>有效</v>
      </c>
      <c r="M343" s="32" t="s">
        <v>879</v>
      </c>
      <c r="N343" s="32"/>
      <c r="O343" s="32"/>
      <c r="P343" s="32"/>
      <c r="Q343" s="33"/>
      <c r="R343" s="10">
        <f>LEN(M343)</f>
        <v>5</v>
      </c>
      <c r="S343" s="10">
        <f>MOD(R343,2)*4+FLOOR(R343/2,1)*6</f>
        <v>16</v>
      </c>
      <c r="T343" s="12">
        <f>S343+S344</f>
        <v>44</v>
      </c>
    </row>
    <row r="344" spans="1:20" ht="20" customHeight="1">
      <c r="A344" s="22"/>
      <c r="B344" s="6" t="str">
        <f>IF(H344&lt;=12,"有效","无效")</f>
        <v>有效</v>
      </c>
      <c r="C344" s="31" t="s">
        <v>2107</v>
      </c>
      <c r="D344" s="32"/>
      <c r="E344" s="32"/>
      <c r="F344" s="32"/>
      <c r="G344" s="33"/>
      <c r="H344" s="4">
        <f>LEN(C344)</f>
        <v>5</v>
      </c>
      <c r="I344" s="11">
        <f>MOD(H344,2)*4+FLOOR(H344/2,1)*6</f>
        <v>16</v>
      </c>
      <c r="J344" s="12" t="str">
        <f>IF(J343&lt;I342,"有效","无效")</f>
        <v>有效</v>
      </c>
      <c r="K344" s="20"/>
      <c r="L344" s="6" t="str">
        <f>IF(R344&lt;=12,"有效","无效")</f>
        <v>有效</v>
      </c>
      <c r="M344" s="31" t="s">
        <v>880</v>
      </c>
      <c r="N344" s="32"/>
      <c r="O344" s="32"/>
      <c r="P344" s="32"/>
      <c r="Q344" s="33"/>
      <c r="R344" s="10">
        <f>LEN(M344)</f>
        <v>9</v>
      </c>
      <c r="S344" s="10">
        <f>MOD(R344,2)*4+FLOOR(R344/2,1)*6</f>
        <v>28</v>
      </c>
      <c r="T344" s="12" t="str">
        <f>IF(T343&lt;I342,"有效","无效")</f>
        <v>有效</v>
      </c>
    </row>
    <row r="345" spans="1:20" ht="20" customHeight="1">
      <c r="A345" s="22"/>
      <c r="B345" s="6" t="str">
        <f>IF(H345&lt;=12,"有效","无效")</f>
        <v>有效</v>
      </c>
      <c r="C345" s="31" t="s">
        <v>2105</v>
      </c>
      <c r="D345" s="32"/>
      <c r="E345" s="32"/>
      <c r="F345" s="32"/>
      <c r="G345" s="33"/>
      <c r="H345" s="4">
        <f>LEN(C345)</f>
        <v>12</v>
      </c>
      <c r="I345" s="11">
        <f>MOD(H345,2)*4+FLOOR(H345/2,1)*6</f>
        <v>36</v>
      </c>
      <c r="J345" s="12">
        <f>I345+I346</f>
        <v>58</v>
      </c>
      <c r="K345" s="20"/>
      <c r="L345" s="6" t="str">
        <f>IF(R345&lt;=12,"有效","无效")</f>
        <v>有效</v>
      </c>
      <c r="M345" s="31" t="s">
        <v>881</v>
      </c>
      <c r="N345" s="32"/>
      <c r="O345" s="32"/>
      <c r="P345" s="32"/>
      <c r="Q345" s="33"/>
      <c r="R345" s="10">
        <f>LEN(M345)</f>
        <v>9</v>
      </c>
      <c r="S345" s="10">
        <f>MOD(R345,2)*4+FLOOR(R345/2,1)*6</f>
        <v>28</v>
      </c>
      <c r="T345" s="12">
        <f>S345+S346</f>
        <v>50</v>
      </c>
    </row>
    <row r="346" spans="1:20" ht="20" customHeight="1">
      <c r="A346" s="22"/>
      <c r="B346" s="6" t="str">
        <f>IF(H346&lt;=12,"有效","无效")</f>
        <v>有效</v>
      </c>
      <c r="C346" s="31" t="s">
        <v>878</v>
      </c>
      <c r="D346" s="32"/>
      <c r="E346" s="32"/>
      <c r="F346" s="32"/>
      <c r="G346" s="33"/>
      <c r="H346" s="4">
        <f>LEN(C346)</f>
        <v>7</v>
      </c>
      <c r="I346" s="11">
        <f>MOD(H346,2)*4+FLOOR(H346/2,1)*6</f>
        <v>22</v>
      </c>
      <c r="J346" s="12" t="str">
        <f>IF(J345&lt;I342,"有效","无效")</f>
        <v>有效</v>
      </c>
      <c r="K346" s="20"/>
      <c r="L346" s="6" t="str">
        <f>IF(R346&lt;=12,"有效","无效")</f>
        <v>有效</v>
      </c>
      <c r="M346" s="31" t="s">
        <v>882</v>
      </c>
      <c r="N346" s="32"/>
      <c r="O346" s="32"/>
      <c r="P346" s="32"/>
      <c r="Q346" s="33"/>
      <c r="R346" s="10">
        <f>LEN(M346)</f>
        <v>7</v>
      </c>
      <c r="S346" s="10">
        <f>MOD(R346,2)*4+FLOOR(R346/2,1)*6</f>
        <v>22</v>
      </c>
      <c r="T346" s="12" t="str">
        <f>IF(T345&lt;I342,"有效","无效")</f>
        <v>有效</v>
      </c>
    </row>
    <row r="347" spans="1:20" ht="20" customHeight="1">
      <c r="A347" s="22">
        <v>70</v>
      </c>
      <c r="B347" s="23" t="s">
        <v>106</v>
      </c>
      <c r="C347" s="24" t="s">
        <v>107</v>
      </c>
      <c r="D347" s="14">
        <f>LEN($B347)</f>
        <v>3</v>
      </c>
      <c r="E347" s="14">
        <f>LEN(C347)+3</f>
        <v>5</v>
      </c>
      <c r="F347" s="14">
        <f>MOD(D347,2)*4+FLOOR(D347/2,1)*6</f>
        <v>10</v>
      </c>
      <c r="G347" s="14">
        <f>MOD(E347,2)*4+FLOOR(E347/2,1)*6</f>
        <v>16</v>
      </c>
      <c r="H347" s="14">
        <v>12</v>
      </c>
      <c r="I347" s="14">
        <f>108-H347-G347-F347</f>
        <v>70</v>
      </c>
    </row>
    <row r="348" spans="1:20" ht="20" customHeight="1">
      <c r="A348" s="22"/>
      <c r="B348" s="6" t="str">
        <f>IF(H348&lt;=12,"有效","无效")</f>
        <v>有效</v>
      </c>
      <c r="C348" s="31" t="s">
        <v>883</v>
      </c>
      <c r="D348" s="32"/>
      <c r="E348" s="32"/>
      <c r="F348" s="32"/>
      <c r="G348" s="33"/>
      <c r="H348" s="4">
        <f>LEN(C348)</f>
        <v>8</v>
      </c>
      <c r="I348" s="11">
        <f>MOD(H348,2)*4+FLOOR(H348/2,1)*6</f>
        <v>24</v>
      </c>
      <c r="J348" s="12">
        <f>I348+I349</f>
        <v>54</v>
      </c>
      <c r="K348" s="20"/>
      <c r="L348" s="13" t="str">
        <f>IF(R348&lt;=12,"有效","无效")</f>
        <v>有效</v>
      </c>
      <c r="M348" s="35" t="s">
        <v>889</v>
      </c>
      <c r="N348" s="35"/>
      <c r="O348" s="35"/>
      <c r="P348" s="35"/>
      <c r="Q348" s="36"/>
      <c r="R348" s="10">
        <f>LEN(M348)</f>
        <v>4</v>
      </c>
      <c r="S348" s="10">
        <f>MOD(R348,2)*4+FLOOR(R348/2,1)*6</f>
        <v>12</v>
      </c>
      <c r="T348" s="12">
        <f>S348+S349</f>
        <v>30</v>
      </c>
    </row>
    <row r="349" spans="1:20" ht="20" customHeight="1">
      <c r="A349" s="22"/>
      <c r="B349" s="6" t="str">
        <f>IF(H349&lt;=12,"有效","无效")</f>
        <v>有效</v>
      </c>
      <c r="C349" s="31" t="s">
        <v>884</v>
      </c>
      <c r="D349" s="32"/>
      <c r="E349" s="32"/>
      <c r="F349" s="32"/>
      <c r="G349" s="33"/>
      <c r="H349" s="4">
        <f>LEN(C349)</f>
        <v>10</v>
      </c>
      <c r="I349" s="11">
        <f>MOD(H349,2)*4+FLOOR(H349/2,1)*6</f>
        <v>30</v>
      </c>
      <c r="J349" s="12" t="str">
        <f>IF(J348&lt;I347,"有效","无效")</f>
        <v>有效</v>
      </c>
      <c r="K349" s="20"/>
      <c r="L349" s="6" t="str">
        <f>IF(R349&lt;=12,"有效","无效")</f>
        <v>有效</v>
      </c>
      <c r="M349" s="34" t="s">
        <v>890</v>
      </c>
      <c r="N349" s="35"/>
      <c r="O349" s="35"/>
      <c r="P349" s="35"/>
      <c r="Q349" s="38"/>
      <c r="R349" s="10">
        <f>LEN(M349)</f>
        <v>6</v>
      </c>
      <c r="S349" s="10">
        <f>MOD(R349,2)*4+FLOOR(R349/2,1)*6</f>
        <v>18</v>
      </c>
      <c r="T349" s="12" t="str">
        <f>IF(T348&lt;I347,"有效","无效")</f>
        <v>有效</v>
      </c>
    </row>
    <row r="350" spans="1:20" ht="20" customHeight="1">
      <c r="A350" s="22"/>
      <c r="B350" s="6" t="str">
        <f>IF(H350&lt;=12,"有效","无效")</f>
        <v>有效</v>
      </c>
      <c r="C350" s="31" t="s">
        <v>885</v>
      </c>
      <c r="D350" s="32"/>
      <c r="E350" s="32"/>
      <c r="F350" s="32"/>
      <c r="G350" s="33"/>
      <c r="H350" s="4">
        <f>LEN(C350)</f>
        <v>4</v>
      </c>
      <c r="I350" s="11">
        <f>MOD(H350,2)*4+FLOOR(H350/2,1)*6</f>
        <v>12</v>
      </c>
      <c r="J350" s="12">
        <f>I350+I351</f>
        <v>30</v>
      </c>
      <c r="K350" s="20"/>
      <c r="L350" s="6" t="str">
        <f>IF(R350&lt;=12,"有效","无效")</f>
        <v>有效</v>
      </c>
      <c r="M350" s="34" t="s">
        <v>887</v>
      </c>
      <c r="N350" s="35"/>
      <c r="O350" s="35"/>
      <c r="P350" s="35"/>
      <c r="Q350" s="36"/>
      <c r="R350" s="10">
        <f>LEN(M350)</f>
        <v>11</v>
      </c>
      <c r="S350" s="10">
        <f>MOD(R350,2)*4+FLOOR(R350/2,1)*6</f>
        <v>34</v>
      </c>
      <c r="T350" s="12">
        <f>S350+S351</f>
        <v>62</v>
      </c>
    </row>
    <row r="351" spans="1:20" ht="20" customHeight="1">
      <c r="A351" s="22"/>
      <c r="B351" s="6" t="str">
        <f>IF(H351&lt;=12,"有效","无效")</f>
        <v>有效</v>
      </c>
      <c r="C351" s="31" t="s">
        <v>886</v>
      </c>
      <c r="D351" s="32"/>
      <c r="E351" s="32"/>
      <c r="F351" s="32"/>
      <c r="G351" s="33"/>
      <c r="H351" s="4">
        <f>LEN(C351)</f>
        <v>6</v>
      </c>
      <c r="I351" s="11">
        <f>MOD(H351,2)*4+FLOOR(H351/2,1)*6</f>
        <v>18</v>
      </c>
      <c r="J351" s="12" t="str">
        <f>IF(J350&lt;I347,"有效","无效")</f>
        <v>有效</v>
      </c>
      <c r="K351" s="20"/>
      <c r="L351" s="6" t="str">
        <f>IF(R351&lt;=12,"有效","无效")</f>
        <v>有效</v>
      </c>
      <c r="M351" s="34" t="s">
        <v>888</v>
      </c>
      <c r="N351" s="35"/>
      <c r="O351" s="35"/>
      <c r="P351" s="35"/>
      <c r="Q351" s="36"/>
      <c r="R351" s="10">
        <f>LEN(M351)</f>
        <v>9</v>
      </c>
      <c r="S351" s="10">
        <f>MOD(R351,2)*4+FLOOR(R351/2,1)*6</f>
        <v>28</v>
      </c>
      <c r="T351" s="12" t="str">
        <f>IF(T350&lt;I347,"有效","无效")</f>
        <v>有效</v>
      </c>
    </row>
    <row r="352" spans="1:20" ht="20" customHeight="1">
      <c r="A352" s="22">
        <v>71</v>
      </c>
      <c r="B352" s="23" t="s">
        <v>108</v>
      </c>
      <c r="C352" s="24" t="s">
        <v>107</v>
      </c>
      <c r="D352" s="14">
        <f>LEN($B352)</f>
        <v>3</v>
      </c>
      <c r="E352" s="14">
        <f>LEN(C352)+3</f>
        <v>5</v>
      </c>
      <c r="F352" s="14">
        <f>MOD(D352,2)*4+FLOOR(D352/2,1)*6</f>
        <v>10</v>
      </c>
      <c r="G352" s="14">
        <f>MOD(E352,2)*4+FLOOR(E352/2,1)*6</f>
        <v>16</v>
      </c>
      <c r="H352" s="14">
        <v>12</v>
      </c>
      <c r="I352" s="14">
        <f>108-H352-G352-F352</f>
        <v>70</v>
      </c>
    </row>
    <row r="353" spans="1:20" ht="20" customHeight="1">
      <c r="A353" s="22"/>
      <c r="B353" s="6" t="str">
        <f>IF(H353&lt;=12,"有效","无效")</f>
        <v>有效</v>
      </c>
      <c r="C353" s="31" t="s">
        <v>891</v>
      </c>
      <c r="D353" s="32"/>
      <c r="E353" s="32"/>
      <c r="F353" s="32"/>
      <c r="G353" s="33"/>
      <c r="H353" s="4">
        <f>LEN(C353)</f>
        <v>8</v>
      </c>
      <c r="I353" s="11">
        <f>MOD(H353,2)*4+FLOOR(H353/2,1)*6</f>
        <v>24</v>
      </c>
      <c r="J353" s="12">
        <f>I353+I354</f>
        <v>52</v>
      </c>
      <c r="K353" s="20"/>
      <c r="L353" s="13" t="str">
        <f>IF(R353&lt;=12,"有效","无效")</f>
        <v>有效</v>
      </c>
      <c r="M353" s="35" t="s">
        <v>895</v>
      </c>
      <c r="N353" s="35"/>
      <c r="O353" s="35"/>
      <c r="P353" s="35"/>
      <c r="Q353" s="36"/>
      <c r="R353" s="10">
        <f>LEN(M353)</f>
        <v>7</v>
      </c>
      <c r="S353" s="10">
        <f>MOD(R353,2)*4+FLOOR(R353/2,1)*6</f>
        <v>22</v>
      </c>
      <c r="T353" s="12">
        <f>S353+S354</f>
        <v>44</v>
      </c>
    </row>
    <row r="354" spans="1:20" ht="20" customHeight="1">
      <c r="A354" s="22"/>
      <c r="B354" s="6" t="str">
        <f>IF(H354&lt;=12,"有效","无效")</f>
        <v>有效</v>
      </c>
      <c r="C354" s="31" t="s">
        <v>892</v>
      </c>
      <c r="D354" s="32"/>
      <c r="E354" s="32"/>
      <c r="F354" s="32"/>
      <c r="G354" s="33"/>
      <c r="H354" s="4">
        <f>LEN(C354)</f>
        <v>9</v>
      </c>
      <c r="I354" s="11">
        <f>MOD(H354,2)*4+FLOOR(H354/2,1)*6</f>
        <v>28</v>
      </c>
      <c r="J354" s="12" t="str">
        <f>IF(J353&lt;I352,"有效","无效")</f>
        <v>有效</v>
      </c>
      <c r="K354" s="20"/>
      <c r="L354" s="6" t="str">
        <f>IF(R354&lt;=12,"有效","无效")</f>
        <v>有效</v>
      </c>
      <c r="M354" s="34" t="s">
        <v>896</v>
      </c>
      <c r="N354" s="35"/>
      <c r="O354" s="35"/>
      <c r="P354" s="35"/>
      <c r="Q354" s="36"/>
      <c r="R354" s="10">
        <f>LEN(M354)</f>
        <v>7</v>
      </c>
      <c r="S354" s="10">
        <f>MOD(R354,2)*4+FLOOR(R354/2,1)*6</f>
        <v>22</v>
      </c>
      <c r="T354" s="12" t="str">
        <f>IF(T353&lt;I352,"有效","无效")</f>
        <v>有效</v>
      </c>
    </row>
    <row r="355" spans="1:20" ht="20" customHeight="1">
      <c r="A355" s="22"/>
      <c r="B355" s="6" t="str">
        <f>IF(H355&lt;=12,"有效","无效")</f>
        <v>有效</v>
      </c>
      <c r="C355" s="31" t="s">
        <v>893</v>
      </c>
      <c r="D355" s="32"/>
      <c r="E355" s="32"/>
      <c r="F355" s="32"/>
      <c r="G355" s="33"/>
      <c r="H355" s="4">
        <f>LEN(C355)</f>
        <v>7</v>
      </c>
      <c r="I355" s="11">
        <f>MOD(H355,2)*4+FLOOR(H355/2,1)*6</f>
        <v>22</v>
      </c>
      <c r="J355" s="12">
        <f>I355+I356</f>
        <v>44</v>
      </c>
      <c r="K355" s="20"/>
      <c r="L355" s="6" t="str">
        <f>IF(R355&lt;=12,"有效","无效")</f>
        <v>有效</v>
      </c>
      <c r="M355" s="34" t="s">
        <v>897</v>
      </c>
      <c r="N355" s="35"/>
      <c r="O355" s="35"/>
      <c r="P355" s="35"/>
      <c r="Q355" s="36"/>
      <c r="R355" s="10">
        <f>LEN(M355)</f>
        <v>11</v>
      </c>
      <c r="S355" s="10">
        <f>MOD(R355,2)*4+FLOOR(R355/2,1)*6</f>
        <v>34</v>
      </c>
      <c r="T355" s="12">
        <f>S355+S356</f>
        <v>62</v>
      </c>
    </row>
    <row r="356" spans="1:20" ht="20" customHeight="1">
      <c r="A356" s="22"/>
      <c r="B356" s="6" t="str">
        <f>IF(H356&lt;=12,"有效","无效")</f>
        <v>有效</v>
      </c>
      <c r="C356" s="31" t="s">
        <v>894</v>
      </c>
      <c r="D356" s="32"/>
      <c r="E356" s="32"/>
      <c r="F356" s="32"/>
      <c r="G356" s="33"/>
      <c r="H356" s="4">
        <f>LEN(C356)</f>
        <v>7</v>
      </c>
      <c r="I356" s="11">
        <f>MOD(H356,2)*4+FLOOR(H356/2,1)*6</f>
        <v>22</v>
      </c>
      <c r="J356" s="12" t="str">
        <f>IF(J355&lt;I352,"有效","无效")</f>
        <v>有效</v>
      </c>
      <c r="K356" s="20"/>
      <c r="L356" s="6" t="str">
        <f>IF(R356&lt;=12,"有效","无效")</f>
        <v>有效</v>
      </c>
      <c r="M356" s="34" t="s">
        <v>898</v>
      </c>
      <c r="N356" s="35"/>
      <c r="O356" s="35"/>
      <c r="P356" s="35"/>
      <c r="Q356" s="36"/>
      <c r="R356" s="10">
        <f>LEN(M356)</f>
        <v>9</v>
      </c>
      <c r="S356" s="10">
        <f>MOD(R356,2)*4+FLOOR(R356/2,1)*6</f>
        <v>28</v>
      </c>
      <c r="T356" s="12" t="str">
        <f>IF(T355&lt;I352,"有效","无效")</f>
        <v>有效</v>
      </c>
    </row>
    <row r="357" spans="1:20" ht="20" customHeight="1">
      <c r="A357" s="22">
        <v>72</v>
      </c>
      <c r="B357" s="23" t="s">
        <v>109</v>
      </c>
      <c r="C357" s="24" t="s">
        <v>110</v>
      </c>
      <c r="D357" s="14">
        <f>LEN($B357)</f>
        <v>4</v>
      </c>
      <c r="E357" s="14">
        <f>LEN(C357)+3</f>
        <v>5</v>
      </c>
      <c r="F357" s="14">
        <f>MOD(D357,2)*4+FLOOR(D357/2,1)*6</f>
        <v>12</v>
      </c>
      <c r="G357" s="14">
        <f>MOD(E357,2)*4+FLOOR(E357/2,1)*6</f>
        <v>16</v>
      </c>
      <c r="H357" s="14">
        <v>12</v>
      </c>
      <c r="I357" s="14">
        <f>108-H357-G357-F357</f>
        <v>68</v>
      </c>
    </row>
    <row r="358" spans="1:20" ht="20" customHeight="1">
      <c r="A358" s="22"/>
      <c r="B358" s="6" t="str">
        <f>IF(H358&lt;=12,"有效","无效")</f>
        <v>有效</v>
      </c>
      <c r="C358" s="31" t="s">
        <v>899</v>
      </c>
      <c r="D358" s="32"/>
      <c r="E358" s="32"/>
      <c r="F358" s="32"/>
      <c r="G358" s="33"/>
      <c r="H358" s="4">
        <f>LEN(C358)</f>
        <v>5</v>
      </c>
      <c r="I358" s="11">
        <f>MOD(H358,2)*4+FLOOR(H358/2,1)*6</f>
        <v>16</v>
      </c>
      <c r="J358" s="12">
        <f>I358+I359</f>
        <v>44</v>
      </c>
      <c r="K358" s="20"/>
      <c r="L358" s="13" t="str">
        <f>IF(R358&lt;=12,"有效","无效")</f>
        <v>有效</v>
      </c>
      <c r="M358" s="35" t="s">
        <v>903</v>
      </c>
      <c r="N358" s="35"/>
      <c r="O358" s="35"/>
      <c r="P358" s="35"/>
      <c r="Q358" s="36"/>
      <c r="R358" s="10">
        <f>LEN(M358)</f>
        <v>12</v>
      </c>
      <c r="S358" s="10">
        <f>MOD(R358,2)*4+FLOOR(R358/2,1)*6</f>
        <v>36</v>
      </c>
      <c r="T358" s="12">
        <f>S358+S359</f>
        <v>58</v>
      </c>
    </row>
    <row r="359" spans="1:20" ht="20" customHeight="1">
      <c r="A359" s="22"/>
      <c r="B359" s="6" t="str">
        <f>IF(H359&lt;=12,"有效","无效")</f>
        <v>有效</v>
      </c>
      <c r="C359" s="31" t="s">
        <v>900</v>
      </c>
      <c r="D359" s="32"/>
      <c r="E359" s="32"/>
      <c r="F359" s="32"/>
      <c r="G359" s="33"/>
      <c r="H359" s="4">
        <f>LEN(C359)</f>
        <v>9</v>
      </c>
      <c r="I359" s="11">
        <f>MOD(H359,2)*4+FLOOR(H359/2,1)*6</f>
        <v>28</v>
      </c>
      <c r="J359" s="12" t="str">
        <f>IF(J358&lt;I357,"有效","无效")</f>
        <v>有效</v>
      </c>
      <c r="K359" s="20"/>
      <c r="L359" s="6" t="str">
        <f>IF(R359&lt;=12,"有效","无效")</f>
        <v>有效</v>
      </c>
      <c r="M359" s="34" t="s">
        <v>2389</v>
      </c>
      <c r="N359" s="35"/>
      <c r="O359" s="35"/>
      <c r="P359" s="35"/>
      <c r="Q359" s="36"/>
      <c r="R359" s="10">
        <f>LEN(M359)</f>
        <v>7</v>
      </c>
      <c r="S359" s="10">
        <f>MOD(R359,2)*4+FLOOR(R359/2,1)*6</f>
        <v>22</v>
      </c>
      <c r="T359" s="12" t="str">
        <f>IF(T358&lt;I357,"有效","无效")</f>
        <v>有效</v>
      </c>
    </row>
    <row r="360" spans="1:20" ht="20" customHeight="1">
      <c r="A360" s="22"/>
      <c r="B360" s="6" t="str">
        <f>IF(H360&lt;=12,"有效","无效")</f>
        <v>有效</v>
      </c>
      <c r="C360" s="31" t="s">
        <v>901</v>
      </c>
      <c r="D360" s="32"/>
      <c r="E360" s="32"/>
      <c r="F360" s="32"/>
      <c r="G360" s="33"/>
      <c r="H360" s="4">
        <f>LEN(C360)</f>
        <v>6</v>
      </c>
      <c r="I360" s="11">
        <f>MOD(H360,2)*4+FLOOR(H360/2,1)*6</f>
        <v>18</v>
      </c>
      <c r="J360" s="12">
        <f>I360+I361</f>
        <v>34</v>
      </c>
      <c r="K360" s="20"/>
      <c r="L360" s="6" t="str">
        <f>IF(R360&lt;=12,"有效","无效")</f>
        <v>有效</v>
      </c>
      <c r="M360" s="34" t="s">
        <v>2390</v>
      </c>
      <c r="N360" s="35"/>
      <c r="O360" s="35"/>
      <c r="P360" s="35"/>
      <c r="Q360" s="36"/>
      <c r="R360" s="10">
        <f>LEN(M360)</f>
        <v>5</v>
      </c>
      <c r="S360" s="10">
        <f>MOD(R360,2)*4+FLOOR(R360/2,1)*6</f>
        <v>16</v>
      </c>
      <c r="T360" s="12">
        <f>S360+S361</f>
        <v>50</v>
      </c>
    </row>
    <row r="361" spans="1:20" ht="20" customHeight="1">
      <c r="A361" s="22"/>
      <c r="B361" s="6" t="str">
        <f>IF(H361&lt;=12,"有效","无效")</f>
        <v>有效</v>
      </c>
      <c r="C361" s="31" t="s">
        <v>902</v>
      </c>
      <c r="D361" s="32"/>
      <c r="E361" s="32"/>
      <c r="F361" s="32"/>
      <c r="G361" s="33"/>
      <c r="H361" s="4">
        <f>LEN(C361)</f>
        <v>5</v>
      </c>
      <c r="I361" s="11">
        <f>MOD(H361,2)*4+FLOOR(H361/2,1)*6</f>
        <v>16</v>
      </c>
      <c r="J361" s="12" t="str">
        <f>IF(J360&lt;I357,"有效","无效")</f>
        <v>有效</v>
      </c>
      <c r="K361" s="20"/>
      <c r="L361" s="6" t="str">
        <f>IF(R361&lt;=12,"有效","无效")</f>
        <v>有效</v>
      </c>
      <c r="M361" s="34" t="s">
        <v>2391</v>
      </c>
      <c r="N361" s="35"/>
      <c r="O361" s="35"/>
      <c r="P361" s="35"/>
      <c r="Q361" s="36"/>
      <c r="R361" s="10">
        <f>LEN(M361)</f>
        <v>11</v>
      </c>
      <c r="S361" s="10">
        <f>MOD(R361,2)*4+FLOOR(R361/2,1)*6</f>
        <v>34</v>
      </c>
      <c r="T361" s="12" t="str">
        <f>IF(T360&lt;I357,"有效","无效")</f>
        <v>有效</v>
      </c>
    </row>
    <row r="362" spans="1:20" ht="20" customHeight="1">
      <c r="A362" s="22">
        <v>73</v>
      </c>
      <c r="B362" s="23" t="s">
        <v>111</v>
      </c>
      <c r="C362" s="24" t="s">
        <v>110</v>
      </c>
      <c r="D362" s="14">
        <f>LEN($B362)</f>
        <v>4</v>
      </c>
      <c r="E362" s="14">
        <f>LEN(C362)+3</f>
        <v>5</v>
      </c>
      <c r="F362" s="14">
        <f>MOD(D362,2)*4+FLOOR(D362/2,1)*6</f>
        <v>12</v>
      </c>
      <c r="G362" s="14">
        <f>MOD(E362,2)*4+FLOOR(E362/2,1)*6</f>
        <v>16</v>
      </c>
      <c r="H362" s="14">
        <v>12</v>
      </c>
      <c r="I362" s="14">
        <f>108-H362-G362-F362</f>
        <v>68</v>
      </c>
    </row>
    <row r="363" spans="1:20" ht="20" customHeight="1">
      <c r="A363" s="22"/>
      <c r="B363" s="6" t="str">
        <f>IF(H363&lt;=12,"有效","无效")</f>
        <v>有效</v>
      </c>
      <c r="C363" s="34" t="s">
        <v>908</v>
      </c>
      <c r="D363" s="35"/>
      <c r="E363" s="35"/>
      <c r="F363" s="35"/>
      <c r="G363" s="36"/>
      <c r="H363" s="4">
        <f>LEN(C363)</f>
        <v>6</v>
      </c>
      <c r="I363" s="11">
        <f>MOD(H363,2)*4+FLOOR(H363/2,1)*6</f>
        <v>18</v>
      </c>
      <c r="J363" s="12">
        <f>I363+I364</f>
        <v>40</v>
      </c>
      <c r="K363" s="20"/>
      <c r="L363" s="13" t="str">
        <f>IF(R363&lt;=12,"有效","无效")</f>
        <v>有效</v>
      </c>
      <c r="M363" s="32" t="s">
        <v>904</v>
      </c>
      <c r="N363" s="32"/>
      <c r="O363" s="32"/>
      <c r="P363" s="32"/>
      <c r="Q363" s="33"/>
      <c r="R363" s="10">
        <f>LEN(M363)</f>
        <v>5</v>
      </c>
      <c r="S363" s="10">
        <f>MOD(R363,2)*4+FLOOR(R363/2,1)*6</f>
        <v>16</v>
      </c>
      <c r="T363" s="12">
        <f>S363+S364</f>
        <v>46</v>
      </c>
    </row>
    <row r="364" spans="1:20" ht="20" customHeight="1">
      <c r="A364" s="22"/>
      <c r="B364" s="6" t="str">
        <f>IF(H364&lt;=12,"有效","无效")</f>
        <v>有效</v>
      </c>
      <c r="C364" s="34" t="s">
        <v>909</v>
      </c>
      <c r="D364" s="35"/>
      <c r="E364" s="35"/>
      <c r="F364" s="35"/>
      <c r="G364" s="36"/>
      <c r="H364" s="4">
        <f>LEN(C364)</f>
        <v>7</v>
      </c>
      <c r="I364" s="11">
        <f>MOD(H364,2)*4+FLOOR(H364/2,1)*6</f>
        <v>22</v>
      </c>
      <c r="J364" s="12" t="str">
        <f>IF(J363&lt;I362,"有效","无效")</f>
        <v>有效</v>
      </c>
      <c r="K364" s="20"/>
      <c r="L364" s="6" t="str">
        <f>IF(R364&lt;=12,"有效","无效")</f>
        <v>有效</v>
      </c>
      <c r="M364" s="31" t="s">
        <v>905</v>
      </c>
      <c r="N364" s="32"/>
      <c r="O364" s="32"/>
      <c r="P364" s="32"/>
      <c r="Q364" s="33"/>
      <c r="R364" s="10">
        <f>LEN(M364)</f>
        <v>10</v>
      </c>
      <c r="S364" s="10">
        <f>MOD(R364,2)*4+FLOOR(R364/2,1)*6</f>
        <v>30</v>
      </c>
      <c r="T364" s="12" t="str">
        <f>IF(T363&lt;I362,"有效","无效")</f>
        <v>有效</v>
      </c>
    </row>
    <row r="365" spans="1:20" ht="20" customHeight="1">
      <c r="A365" s="22"/>
      <c r="B365" s="6" t="str">
        <f>IF(H365&lt;=12,"有效","无效")</f>
        <v>有效</v>
      </c>
      <c r="C365" s="34" t="s">
        <v>911</v>
      </c>
      <c r="D365" s="35"/>
      <c r="E365" s="35"/>
      <c r="F365" s="35"/>
      <c r="G365" s="36"/>
      <c r="H365" s="4">
        <f>LEN(C365)</f>
        <v>6</v>
      </c>
      <c r="I365" s="11">
        <f>MOD(H365,2)*4+FLOOR(H365/2,1)*6</f>
        <v>18</v>
      </c>
      <c r="J365" s="12">
        <f>I365+I366</f>
        <v>34</v>
      </c>
      <c r="K365" s="20"/>
      <c r="L365" s="6" t="str">
        <f>IF(R365&lt;=12,"有效","无效")</f>
        <v>有效</v>
      </c>
      <c r="M365" s="31" t="s">
        <v>906</v>
      </c>
      <c r="N365" s="32"/>
      <c r="O365" s="32"/>
      <c r="P365" s="32"/>
      <c r="Q365" s="33"/>
      <c r="R365" s="10">
        <f>LEN(M365)</f>
        <v>5</v>
      </c>
      <c r="S365" s="10">
        <f>MOD(R365,2)*4+FLOOR(R365/2,1)*6</f>
        <v>16</v>
      </c>
      <c r="T365" s="12">
        <f>S365+S366</f>
        <v>28</v>
      </c>
    </row>
    <row r="366" spans="1:20" ht="20" customHeight="1">
      <c r="A366" s="22"/>
      <c r="B366" s="6" t="str">
        <f>IF(H366&lt;=12,"有效","无效")</f>
        <v>有效</v>
      </c>
      <c r="C366" s="34" t="s">
        <v>910</v>
      </c>
      <c r="D366" s="35"/>
      <c r="E366" s="35"/>
      <c r="F366" s="35"/>
      <c r="G366" s="36"/>
      <c r="H366" s="4">
        <f>LEN(C366)</f>
        <v>5</v>
      </c>
      <c r="I366" s="11">
        <f>MOD(H366,2)*4+FLOOR(H366/2,1)*6</f>
        <v>16</v>
      </c>
      <c r="J366" s="12" t="str">
        <f>IF(J365&lt;I362,"有效","无效")</f>
        <v>有效</v>
      </c>
      <c r="K366" s="20"/>
      <c r="L366" s="6" t="str">
        <f>IF(R366&lt;=12,"有效","无效")</f>
        <v>有效</v>
      </c>
      <c r="M366" s="31" t="s">
        <v>907</v>
      </c>
      <c r="N366" s="32"/>
      <c r="O366" s="32"/>
      <c r="P366" s="32"/>
      <c r="Q366" s="33"/>
      <c r="R366" s="10">
        <f>LEN(M366)</f>
        <v>4</v>
      </c>
      <c r="S366" s="10">
        <f>MOD(R366,2)*4+FLOOR(R366/2,1)*6</f>
        <v>12</v>
      </c>
      <c r="T366" s="12" t="str">
        <f>IF(T365&lt;I362,"有效","无效")</f>
        <v>有效</v>
      </c>
    </row>
    <row r="367" spans="1:20" ht="20" customHeight="1">
      <c r="A367" s="22">
        <v>74</v>
      </c>
      <c r="B367" s="23" t="s">
        <v>112</v>
      </c>
      <c r="C367" s="24" t="s">
        <v>113</v>
      </c>
      <c r="D367" s="14">
        <f>LEN($B367)</f>
        <v>3</v>
      </c>
      <c r="E367" s="14">
        <f>LEN(C367)+3</f>
        <v>5</v>
      </c>
      <c r="F367" s="14">
        <f>MOD(D367,2)*4+FLOOR(D367/2,1)*6</f>
        <v>10</v>
      </c>
      <c r="G367" s="14">
        <f>MOD(E367,2)*4+FLOOR(E367/2,1)*6</f>
        <v>16</v>
      </c>
      <c r="H367" s="14">
        <v>12</v>
      </c>
      <c r="I367" s="14">
        <f>108-H367-G367-F367</f>
        <v>70</v>
      </c>
    </row>
    <row r="368" spans="1:20" ht="20" customHeight="1">
      <c r="A368" s="22"/>
      <c r="B368" s="6" t="str">
        <f>IF(H368&lt;=12,"有效","无效")</f>
        <v>有效</v>
      </c>
      <c r="C368" s="31" t="s">
        <v>912</v>
      </c>
      <c r="D368" s="32"/>
      <c r="E368" s="32"/>
      <c r="F368" s="32"/>
      <c r="G368" s="33"/>
      <c r="H368" s="4">
        <f>LEN(C368)</f>
        <v>10</v>
      </c>
      <c r="I368" s="11">
        <f>MOD(H368,2)*4+FLOOR(H368/2,1)*6</f>
        <v>30</v>
      </c>
      <c r="J368" s="12">
        <f>I368+I369</f>
        <v>64</v>
      </c>
      <c r="K368" s="20"/>
      <c r="L368" s="13" t="str">
        <f>IF(R368&lt;=12,"有效","无效")</f>
        <v>有效</v>
      </c>
      <c r="M368" s="35" t="s">
        <v>916</v>
      </c>
      <c r="N368" s="35"/>
      <c r="O368" s="35"/>
      <c r="P368" s="35"/>
      <c r="Q368" s="36"/>
      <c r="R368" s="10">
        <f>LEN(M368)</f>
        <v>10</v>
      </c>
      <c r="S368" s="10">
        <f>MOD(R368,2)*4+FLOOR(R368/2,1)*6</f>
        <v>30</v>
      </c>
      <c r="T368" s="12">
        <f>S368+S369</f>
        <v>64</v>
      </c>
    </row>
    <row r="369" spans="1:20" ht="20" customHeight="1">
      <c r="A369" s="22"/>
      <c r="B369" s="6" t="str">
        <f>IF(H369&lt;=12,"有效","无效")</f>
        <v>有效</v>
      </c>
      <c r="C369" s="31" t="s">
        <v>913</v>
      </c>
      <c r="D369" s="32"/>
      <c r="E369" s="32"/>
      <c r="F369" s="32"/>
      <c r="G369" s="33"/>
      <c r="H369" s="4">
        <f>LEN(C369)</f>
        <v>11</v>
      </c>
      <c r="I369" s="11">
        <f>MOD(H369,2)*4+FLOOR(H369/2,1)*6</f>
        <v>34</v>
      </c>
      <c r="J369" s="12" t="str">
        <f>IF(J368&lt;I367,"有效","无效")</f>
        <v>有效</v>
      </c>
      <c r="K369" s="20"/>
      <c r="L369" s="6" t="str">
        <f>IF(R369&lt;=12,"有效","无效")</f>
        <v>有效</v>
      </c>
      <c r="M369" s="34" t="s">
        <v>917</v>
      </c>
      <c r="N369" s="35"/>
      <c r="O369" s="35"/>
      <c r="P369" s="35"/>
      <c r="Q369" s="36"/>
      <c r="R369" s="10">
        <f>LEN(M369)</f>
        <v>11</v>
      </c>
      <c r="S369" s="10">
        <f>MOD(R369,2)*4+FLOOR(R369/2,1)*6</f>
        <v>34</v>
      </c>
      <c r="T369" s="12" t="str">
        <f>IF(T368&lt;I367,"有效","无效")</f>
        <v>有效</v>
      </c>
    </row>
    <row r="370" spans="1:20" ht="20" customHeight="1">
      <c r="A370" s="22"/>
      <c r="B370" s="6" t="str">
        <f>IF(H370&lt;=12,"有效","无效")</f>
        <v>有效</v>
      </c>
      <c r="C370" s="31" t="s">
        <v>914</v>
      </c>
      <c r="D370" s="32"/>
      <c r="E370" s="32"/>
      <c r="F370" s="32"/>
      <c r="G370" s="33"/>
      <c r="H370" s="4">
        <f>LEN(C370)</f>
        <v>4</v>
      </c>
      <c r="I370" s="11">
        <f>MOD(H370,2)*4+FLOOR(H370/2,1)*6</f>
        <v>12</v>
      </c>
      <c r="J370" s="12">
        <f>I370+I371</f>
        <v>34</v>
      </c>
      <c r="K370" s="20"/>
      <c r="L370" s="6" t="str">
        <f>IF(R370&lt;=12,"有效","无效")</f>
        <v>有效</v>
      </c>
      <c r="M370" s="34" t="s">
        <v>918</v>
      </c>
      <c r="N370" s="35"/>
      <c r="O370" s="35"/>
      <c r="P370" s="35"/>
      <c r="Q370" s="36"/>
      <c r="R370" s="10">
        <f>LEN(M370)</f>
        <v>4</v>
      </c>
      <c r="S370" s="10">
        <f>MOD(R370,2)*4+FLOOR(R370/2,1)*6</f>
        <v>12</v>
      </c>
      <c r="T370" s="12">
        <f>S370+S371</f>
        <v>34</v>
      </c>
    </row>
    <row r="371" spans="1:20" ht="20" customHeight="1">
      <c r="A371" s="22"/>
      <c r="B371" s="6" t="str">
        <f>IF(H371&lt;=12,"有效","无效")</f>
        <v>有效</v>
      </c>
      <c r="C371" s="31" t="s">
        <v>915</v>
      </c>
      <c r="D371" s="32"/>
      <c r="E371" s="32"/>
      <c r="F371" s="32"/>
      <c r="G371" s="33"/>
      <c r="H371" s="4">
        <f>LEN(C371)</f>
        <v>7</v>
      </c>
      <c r="I371" s="11">
        <f>MOD(H371,2)*4+FLOOR(H371/2,1)*6</f>
        <v>22</v>
      </c>
      <c r="J371" s="12" t="str">
        <f>IF(J370&lt;I367,"有效","无效")</f>
        <v>有效</v>
      </c>
      <c r="K371" s="20"/>
      <c r="L371" s="6" t="str">
        <f>IF(R371&lt;=12,"有效","无效")</f>
        <v>有效</v>
      </c>
      <c r="M371" s="34" t="s">
        <v>919</v>
      </c>
      <c r="N371" s="35"/>
      <c r="O371" s="35"/>
      <c r="P371" s="35"/>
      <c r="Q371" s="36"/>
      <c r="R371" s="10">
        <f>LEN(M371)</f>
        <v>7</v>
      </c>
      <c r="S371" s="10">
        <f>MOD(R371,2)*4+FLOOR(R371/2,1)*6</f>
        <v>22</v>
      </c>
      <c r="T371" s="12" t="str">
        <f>IF(T370&lt;I367,"有效","无效")</f>
        <v>有效</v>
      </c>
    </row>
    <row r="372" spans="1:20" ht="20" customHeight="1">
      <c r="A372" s="22">
        <v>75</v>
      </c>
      <c r="B372" s="23" t="s">
        <v>114</v>
      </c>
      <c r="C372" s="24" t="s">
        <v>113</v>
      </c>
      <c r="D372" s="14">
        <f>LEN($B372)</f>
        <v>3</v>
      </c>
      <c r="E372" s="14">
        <f>LEN(C372)+3</f>
        <v>5</v>
      </c>
      <c r="F372" s="14">
        <f>MOD(D372,2)*4+FLOOR(D372/2,1)*6</f>
        <v>10</v>
      </c>
      <c r="G372" s="14">
        <f>MOD(E372,2)*4+FLOOR(E372/2,1)*6</f>
        <v>16</v>
      </c>
      <c r="H372" s="14">
        <v>12</v>
      </c>
      <c r="I372" s="14">
        <f>108-H372-G372-F372</f>
        <v>70</v>
      </c>
    </row>
    <row r="373" spans="1:20" ht="20" customHeight="1">
      <c r="A373" s="22"/>
      <c r="B373" s="6" t="str">
        <f>IF(H373&lt;=12,"有效","无效")</f>
        <v>有效</v>
      </c>
      <c r="C373" s="31" t="s">
        <v>920</v>
      </c>
      <c r="D373" s="32"/>
      <c r="E373" s="32"/>
      <c r="F373" s="32"/>
      <c r="G373" s="33"/>
      <c r="H373" s="4">
        <f>LEN(C373)</f>
        <v>5</v>
      </c>
      <c r="I373" s="11">
        <f>MOD(H373,2)*4+FLOOR(H373/2,1)*6</f>
        <v>16</v>
      </c>
      <c r="J373" s="12">
        <f>I373+I374</f>
        <v>40</v>
      </c>
      <c r="K373" s="20"/>
      <c r="L373" s="13" t="str">
        <f>IF(R373&lt;=12,"有效","无效")</f>
        <v>有效</v>
      </c>
      <c r="M373" s="32" t="s">
        <v>924</v>
      </c>
      <c r="N373" s="32"/>
      <c r="O373" s="32"/>
      <c r="P373" s="32"/>
      <c r="Q373" s="33"/>
      <c r="R373" s="10">
        <f>LEN(M373)</f>
        <v>7</v>
      </c>
      <c r="S373" s="10">
        <f>MOD(R373,2)*4+FLOOR(R373/2,1)*6</f>
        <v>22</v>
      </c>
      <c r="T373" s="12">
        <f>S373+S374</f>
        <v>46</v>
      </c>
    </row>
    <row r="374" spans="1:20" ht="20" customHeight="1">
      <c r="A374" s="22"/>
      <c r="B374" s="6" t="str">
        <f>IF(H374&lt;=12,"有效","无效")</f>
        <v>有效</v>
      </c>
      <c r="C374" s="31" t="s">
        <v>921</v>
      </c>
      <c r="D374" s="32"/>
      <c r="E374" s="32"/>
      <c r="F374" s="32"/>
      <c r="G374" s="33"/>
      <c r="H374" s="4">
        <f>LEN(C374)</f>
        <v>8</v>
      </c>
      <c r="I374" s="11">
        <f>MOD(H374,2)*4+FLOOR(H374/2,1)*6</f>
        <v>24</v>
      </c>
      <c r="J374" s="12" t="str">
        <f>IF(J373&lt;I372,"有效","无效")</f>
        <v>有效</v>
      </c>
      <c r="K374" s="20"/>
      <c r="L374" s="6" t="str">
        <f>IF(R374&lt;=12,"有效","无效")</f>
        <v>有效</v>
      </c>
      <c r="M374" s="31" t="s">
        <v>925</v>
      </c>
      <c r="N374" s="32"/>
      <c r="O374" s="32"/>
      <c r="P374" s="32"/>
      <c r="Q374" s="33"/>
      <c r="R374" s="10">
        <f>LEN(M374)</f>
        <v>8</v>
      </c>
      <c r="S374" s="10">
        <f>MOD(R374,2)*4+FLOOR(R374/2,1)*6</f>
        <v>24</v>
      </c>
      <c r="T374" s="12" t="str">
        <f>IF(T373&lt;I372,"有效","无效")</f>
        <v>有效</v>
      </c>
    </row>
    <row r="375" spans="1:20" ht="20" customHeight="1">
      <c r="A375" s="22"/>
      <c r="B375" s="6" t="str">
        <f>IF(H375&lt;=12,"有效","无效")</f>
        <v>有效</v>
      </c>
      <c r="C375" s="31" t="s">
        <v>922</v>
      </c>
      <c r="D375" s="32"/>
      <c r="E375" s="32"/>
      <c r="F375" s="32"/>
      <c r="G375" s="33"/>
      <c r="H375" s="4">
        <f>LEN(C375)</f>
        <v>8</v>
      </c>
      <c r="I375" s="11">
        <f>MOD(H375,2)*4+FLOOR(H375/2,1)*6</f>
        <v>24</v>
      </c>
      <c r="J375" s="12">
        <f>I375+I376</f>
        <v>42</v>
      </c>
      <c r="K375" s="20"/>
      <c r="L375" s="6" t="str">
        <f>IF(R375&lt;=12,"有效","无效")</f>
        <v>有效</v>
      </c>
      <c r="M375" s="31" t="s">
        <v>926</v>
      </c>
      <c r="N375" s="32"/>
      <c r="O375" s="32"/>
      <c r="P375" s="32"/>
      <c r="Q375" s="33"/>
      <c r="R375" s="10">
        <f>LEN(M375)</f>
        <v>6</v>
      </c>
      <c r="S375" s="10">
        <f>MOD(R375,2)*4+FLOOR(R375/2,1)*6</f>
        <v>18</v>
      </c>
      <c r="T375" s="12">
        <f>S375+S376</f>
        <v>36</v>
      </c>
    </row>
    <row r="376" spans="1:20" ht="20" customHeight="1">
      <c r="A376" s="22"/>
      <c r="B376" s="6" t="str">
        <f>IF(H376&lt;=12,"有效","无效")</f>
        <v>有效</v>
      </c>
      <c r="C376" s="31" t="s">
        <v>923</v>
      </c>
      <c r="D376" s="32"/>
      <c r="E376" s="32"/>
      <c r="F376" s="32"/>
      <c r="G376" s="33"/>
      <c r="H376" s="4">
        <f>LEN(C376)</f>
        <v>6</v>
      </c>
      <c r="I376" s="11">
        <f>MOD(H376,2)*4+FLOOR(H376/2,1)*6</f>
        <v>18</v>
      </c>
      <c r="J376" s="12" t="str">
        <f>IF(J375&lt;I372,"有效","无效")</f>
        <v>有效</v>
      </c>
      <c r="K376" s="20"/>
      <c r="L376" s="6" t="str">
        <f>IF(R376&lt;=12,"有效","无效")</f>
        <v>有效</v>
      </c>
      <c r="M376" s="31" t="s">
        <v>927</v>
      </c>
      <c r="N376" s="32"/>
      <c r="O376" s="32"/>
      <c r="P376" s="32"/>
      <c r="Q376" s="33"/>
      <c r="R376" s="10">
        <f>LEN(M376)</f>
        <v>6</v>
      </c>
      <c r="S376" s="10">
        <f>MOD(R376,2)*4+FLOOR(R376/2,1)*6</f>
        <v>18</v>
      </c>
      <c r="T376" s="12" t="str">
        <f>IF(T375&lt;I372,"有效","无效")</f>
        <v>有效</v>
      </c>
    </row>
    <row r="377" spans="1:20" ht="20" customHeight="1">
      <c r="A377" s="22">
        <v>76</v>
      </c>
      <c r="B377" s="23" t="s">
        <v>115</v>
      </c>
      <c r="C377" s="24" t="s">
        <v>116</v>
      </c>
      <c r="D377" s="14">
        <f>LEN($B377)</f>
        <v>3</v>
      </c>
      <c r="E377" s="14">
        <f>LEN(C377)+3</f>
        <v>6</v>
      </c>
      <c r="F377" s="14">
        <f>MOD(D377,2)*4+FLOOR(D377/2,1)*6</f>
        <v>10</v>
      </c>
      <c r="G377" s="14">
        <f>MOD(E377,2)*4+FLOOR(E377/2,1)*6</f>
        <v>18</v>
      </c>
      <c r="H377" s="14">
        <v>12</v>
      </c>
      <c r="I377" s="14">
        <f>108-H377-G377-F377</f>
        <v>68</v>
      </c>
    </row>
    <row r="378" spans="1:20" ht="20" customHeight="1">
      <c r="A378" s="22"/>
      <c r="B378" s="6" t="str">
        <f>IF(H378&lt;=12,"有效","无效")</f>
        <v>有效</v>
      </c>
      <c r="C378" s="34" t="s">
        <v>928</v>
      </c>
      <c r="D378" s="35"/>
      <c r="E378" s="35"/>
      <c r="F378" s="35"/>
      <c r="G378" s="36"/>
      <c r="H378" s="4">
        <f>LEN(C378)</f>
        <v>7</v>
      </c>
      <c r="I378" s="11">
        <f>MOD(H378,2)*4+FLOOR(H378/2,1)*6</f>
        <v>22</v>
      </c>
      <c r="J378" s="12">
        <f>I378+I379</f>
        <v>58</v>
      </c>
      <c r="K378" s="20"/>
      <c r="L378" s="13" t="str">
        <f>IF(R378&lt;=12,"有效","无效")</f>
        <v>有效</v>
      </c>
      <c r="M378" s="32" t="s">
        <v>932</v>
      </c>
      <c r="N378" s="32"/>
      <c r="O378" s="32"/>
      <c r="P378" s="32"/>
      <c r="Q378" s="33"/>
      <c r="R378" s="10">
        <f>LEN(M378)</f>
        <v>7</v>
      </c>
      <c r="S378" s="10">
        <f>MOD(R378,2)*4+FLOOR(R378/2,1)*6</f>
        <v>22</v>
      </c>
      <c r="T378" s="12">
        <f>S378+S379</f>
        <v>38</v>
      </c>
    </row>
    <row r="379" spans="1:20" ht="20" customHeight="1">
      <c r="A379" s="22"/>
      <c r="B379" s="6" t="str">
        <f>IF(H379&lt;=12,"有效","无效")</f>
        <v>有效</v>
      </c>
      <c r="C379" s="34" t="s">
        <v>929</v>
      </c>
      <c r="D379" s="35"/>
      <c r="E379" s="35"/>
      <c r="F379" s="35"/>
      <c r="G379" s="36"/>
      <c r="H379" s="4">
        <f>LEN(C379)</f>
        <v>12</v>
      </c>
      <c r="I379" s="11">
        <f>MOD(H379,2)*4+FLOOR(H379/2,1)*6</f>
        <v>36</v>
      </c>
      <c r="J379" s="12" t="str">
        <f>IF(J378&lt;I377,"有效","无效")</f>
        <v>有效</v>
      </c>
      <c r="K379" s="20"/>
      <c r="L379" s="6" t="str">
        <f>IF(R379&lt;=12,"有效","无效")</f>
        <v>有效</v>
      </c>
      <c r="M379" s="31" t="s">
        <v>933</v>
      </c>
      <c r="N379" s="32"/>
      <c r="O379" s="32"/>
      <c r="P379" s="32"/>
      <c r="Q379" s="33"/>
      <c r="R379" s="10">
        <f>LEN(M379)</f>
        <v>5</v>
      </c>
      <c r="S379" s="10">
        <f>MOD(R379,2)*4+FLOOR(R379/2,1)*6</f>
        <v>16</v>
      </c>
      <c r="T379" s="12" t="str">
        <f>IF(T378&lt;I377,"有效","无效")</f>
        <v>有效</v>
      </c>
    </row>
    <row r="380" spans="1:20" ht="20" customHeight="1">
      <c r="A380" s="22"/>
      <c r="B380" s="6" t="str">
        <f>IF(H380&lt;=12,"有效","无效")</f>
        <v>有效</v>
      </c>
      <c r="C380" s="34" t="s">
        <v>930</v>
      </c>
      <c r="D380" s="35"/>
      <c r="E380" s="35"/>
      <c r="F380" s="35"/>
      <c r="G380" s="36"/>
      <c r="H380" s="4">
        <f>LEN(C380)</f>
        <v>5</v>
      </c>
      <c r="I380" s="11">
        <f>MOD(H380,2)*4+FLOOR(H380/2,1)*6</f>
        <v>16</v>
      </c>
      <c r="J380" s="12">
        <f>I380+I381</f>
        <v>38</v>
      </c>
      <c r="K380" s="20"/>
      <c r="L380" s="6" t="str">
        <f>IF(R380&lt;=12,"有效","无效")</f>
        <v>有效</v>
      </c>
      <c r="M380" s="31" t="s">
        <v>934</v>
      </c>
      <c r="N380" s="32"/>
      <c r="O380" s="32"/>
      <c r="P380" s="32"/>
      <c r="Q380" s="33"/>
      <c r="R380" s="10">
        <f>LEN(M380)</f>
        <v>8</v>
      </c>
      <c r="S380" s="10">
        <f>MOD(R380,2)*4+FLOOR(R380/2,1)*6</f>
        <v>24</v>
      </c>
      <c r="T380" s="12">
        <f>S380+S381</f>
        <v>54</v>
      </c>
    </row>
    <row r="381" spans="1:20" ht="20" customHeight="1">
      <c r="A381" s="22"/>
      <c r="B381" s="6" t="str">
        <f>IF(H381&lt;=12,"有效","无效")</f>
        <v>有效</v>
      </c>
      <c r="C381" s="34" t="s">
        <v>931</v>
      </c>
      <c r="D381" s="35"/>
      <c r="E381" s="35"/>
      <c r="F381" s="35"/>
      <c r="G381" s="36"/>
      <c r="H381" s="4">
        <f>LEN(C381)</f>
        <v>7</v>
      </c>
      <c r="I381" s="11">
        <f>MOD(H381,2)*4+FLOOR(H381/2,1)*6</f>
        <v>22</v>
      </c>
      <c r="J381" s="12" t="str">
        <f>IF(J380&lt;I377,"有效","无效")</f>
        <v>有效</v>
      </c>
      <c r="K381" s="20"/>
      <c r="L381" s="6" t="str">
        <f>IF(R381&lt;=12,"有效","无效")</f>
        <v>有效</v>
      </c>
      <c r="M381" s="31" t="s">
        <v>935</v>
      </c>
      <c r="N381" s="32"/>
      <c r="O381" s="32"/>
      <c r="P381" s="32"/>
      <c r="Q381" s="33"/>
      <c r="R381" s="10">
        <f>LEN(M381)</f>
        <v>10</v>
      </c>
      <c r="S381" s="10">
        <f>MOD(R381,2)*4+FLOOR(R381/2,1)*6</f>
        <v>30</v>
      </c>
      <c r="T381" s="12" t="str">
        <f>IF(T380&lt;I377,"有效","无效")</f>
        <v>有效</v>
      </c>
    </row>
    <row r="382" spans="1:20" ht="20" customHeight="1">
      <c r="A382" s="22">
        <v>77</v>
      </c>
      <c r="B382" s="23" t="s">
        <v>117</v>
      </c>
      <c r="C382" s="24" t="s">
        <v>118</v>
      </c>
      <c r="D382" s="14">
        <f>LEN($B382)</f>
        <v>3</v>
      </c>
      <c r="E382" s="14">
        <f>LEN(C382)+3</f>
        <v>5</v>
      </c>
      <c r="F382" s="14">
        <f>MOD(D382,2)*4+FLOOR(D382/2,1)*6</f>
        <v>10</v>
      </c>
      <c r="G382" s="14">
        <f>MOD(E382,2)*4+FLOOR(E382/2,1)*6</f>
        <v>16</v>
      </c>
      <c r="H382" s="14">
        <v>12</v>
      </c>
      <c r="I382" s="14">
        <f>108-H382-G382-F382</f>
        <v>70</v>
      </c>
    </row>
    <row r="383" spans="1:20" ht="20" customHeight="1">
      <c r="A383" s="22"/>
      <c r="B383" s="6" t="str">
        <f>IF(H383&lt;=12,"有效","无效")</f>
        <v>有效</v>
      </c>
      <c r="C383" s="34" t="s">
        <v>936</v>
      </c>
      <c r="D383" s="35"/>
      <c r="E383" s="35"/>
      <c r="F383" s="35"/>
      <c r="G383" s="36"/>
      <c r="H383" s="4">
        <f>LEN(C383)</f>
        <v>5</v>
      </c>
      <c r="I383" s="11">
        <f>MOD(H383,2)*4+FLOOR(H383/2,1)*6</f>
        <v>16</v>
      </c>
      <c r="J383" s="12">
        <f>I383+I384</f>
        <v>32</v>
      </c>
      <c r="K383" s="20"/>
      <c r="L383" s="13" t="str">
        <f>IF(R383&lt;=12,"有效","无效")</f>
        <v>有效</v>
      </c>
      <c r="M383" s="35" t="s">
        <v>940</v>
      </c>
      <c r="N383" s="35"/>
      <c r="O383" s="35"/>
      <c r="P383" s="35"/>
      <c r="Q383" s="36"/>
      <c r="R383" s="10">
        <f>LEN(M383)</f>
        <v>5</v>
      </c>
      <c r="S383" s="10">
        <f>MOD(R383,2)*4+FLOOR(R383/2,1)*6</f>
        <v>16</v>
      </c>
      <c r="T383" s="12">
        <f>S383+S384</f>
        <v>34</v>
      </c>
    </row>
    <row r="384" spans="1:20" ht="20" customHeight="1">
      <c r="A384" s="22"/>
      <c r="B384" s="6" t="str">
        <f>IF(H384&lt;=12,"有效","无效")</f>
        <v>有效</v>
      </c>
      <c r="C384" s="34" t="s">
        <v>937</v>
      </c>
      <c r="D384" s="35"/>
      <c r="E384" s="35"/>
      <c r="F384" s="35"/>
      <c r="G384" s="36"/>
      <c r="H384" s="4">
        <f>LEN(C384)</f>
        <v>5</v>
      </c>
      <c r="I384" s="11">
        <f>MOD(H384,2)*4+FLOOR(H384/2,1)*6</f>
        <v>16</v>
      </c>
      <c r="J384" s="12" t="str">
        <f>IF(J383&lt;I382,"有效","无效")</f>
        <v>有效</v>
      </c>
      <c r="K384" s="20"/>
      <c r="L384" s="6" t="str">
        <f>IF(R384&lt;=12,"有效","无效")</f>
        <v>有效</v>
      </c>
      <c r="M384" s="34" t="s">
        <v>941</v>
      </c>
      <c r="N384" s="35"/>
      <c r="O384" s="35"/>
      <c r="P384" s="35"/>
      <c r="Q384" s="36"/>
      <c r="R384" s="10">
        <f>LEN(M384)</f>
        <v>6</v>
      </c>
      <c r="S384" s="10">
        <f>MOD(R384,2)*4+FLOOR(R384/2,1)*6</f>
        <v>18</v>
      </c>
      <c r="T384" s="12" t="str">
        <f>IF(T383&lt;I382,"有效","无效")</f>
        <v>有效</v>
      </c>
    </row>
    <row r="385" spans="1:20" ht="20" customHeight="1">
      <c r="A385" s="22"/>
      <c r="B385" s="6" t="str">
        <f>IF(H385&lt;=12,"有效","无效")</f>
        <v>有效</v>
      </c>
      <c r="C385" s="34" t="s">
        <v>938</v>
      </c>
      <c r="D385" s="35"/>
      <c r="E385" s="35"/>
      <c r="F385" s="35"/>
      <c r="G385" s="36"/>
      <c r="H385" s="4">
        <f>LEN(C385)</f>
        <v>7</v>
      </c>
      <c r="I385" s="11">
        <f>MOD(H385,2)*4+FLOOR(H385/2,1)*6</f>
        <v>22</v>
      </c>
      <c r="J385" s="12">
        <f>I385+I386</f>
        <v>46</v>
      </c>
      <c r="K385" s="20"/>
      <c r="L385" s="6" t="str">
        <f>IF(R385&lt;=12,"有效","无效")</f>
        <v>有效</v>
      </c>
      <c r="M385" s="34" t="s">
        <v>942</v>
      </c>
      <c r="N385" s="35"/>
      <c r="O385" s="35"/>
      <c r="P385" s="35"/>
      <c r="Q385" s="36"/>
      <c r="R385" s="10">
        <f>LEN(M385)</f>
        <v>11</v>
      </c>
      <c r="S385" s="10">
        <f>MOD(R385,2)*4+FLOOR(R385/2,1)*6</f>
        <v>34</v>
      </c>
      <c r="T385" s="12">
        <f>S385+S386</f>
        <v>56</v>
      </c>
    </row>
    <row r="386" spans="1:20" ht="20" customHeight="1">
      <c r="A386" s="22"/>
      <c r="B386" s="6" t="str">
        <f>IF(H386&lt;=12,"有效","无效")</f>
        <v>有效</v>
      </c>
      <c r="C386" s="34" t="s">
        <v>939</v>
      </c>
      <c r="D386" s="35"/>
      <c r="E386" s="35"/>
      <c r="F386" s="35"/>
      <c r="G386" s="36"/>
      <c r="H386" s="4">
        <f>LEN(C386)</f>
        <v>8</v>
      </c>
      <c r="I386" s="11">
        <f>MOD(H386,2)*4+FLOOR(H386/2,1)*6</f>
        <v>24</v>
      </c>
      <c r="J386" s="12" t="str">
        <f>IF(J385&lt;I382,"有效","无效")</f>
        <v>有效</v>
      </c>
      <c r="K386" s="20"/>
      <c r="L386" s="6" t="str">
        <f>IF(R386&lt;=12,"有效","无效")</f>
        <v>有效</v>
      </c>
      <c r="M386" s="34" t="s">
        <v>943</v>
      </c>
      <c r="N386" s="35"/>
      <c r="O386" s="35"/>
      <c r="P386" s="35"/>
      <c r="Q386" s="36"/>
      <c r="R386" s="10">
        <f>LEN(M386)</f>
        <v>7</v>
      </c>
      <c r="S386" s="10">
        <f>MOD(R386,2)*4+FLOOR(R386/2,1)*6</f>
        <v>22</v>
      </c>
      <c r="T386" s="12" t="str">
        <f>IF(T385&lt;I382,"有效","无效")</f>
        <v>有效</v>
      </c>
    </row>
    <row r="387" spans="1:20" ht="20" customHeight="1">
      <c r="A387" s="22">
        <v>78</v>
      </c>
      <c r="B387" s="23" t="s">
        <v>119</v>
      </c>
      <c r="C387" s="24" t="s">
        <v>118</v>
      </c>
      <c r="D387" s="14">
        <f>LEN($B387)</f>
        <v>3</v>
      </c>
      <c r="E387" s="14">
        <f>LEN(C387)+3</f>
        <v>5</v>
      </c>
      <c r="F387" s="14">
        <f>MOD(D387,2)*4+FLOOR(D387/2,1)*6</f>
        <v>10</v>
      </c>
      <c r="G387" s="14">
        <f>MOD(E387,2)*4+FLOOR(E387/2,1)*6</f>
        <v>16</v>
      </c>
      <c r="H387" s="14">
        <v>12</v>
      </c>
      <c r="I387" s="14">
        <f>108-H387-G387-F387</f>
        <v>70</v>
      </c>
    </row>
    <row r="388" spans="1:20" ht="20" customHeight="1">
      <c r="A388" s="22"/>
      <c r="B388" s="6" t="str">
        <f>IF(H388&lt;=12,"有效","无效")</f>
        <v>有效</v>
      </c>
      <c r="C388" s="34" t="s">
        <v>944</v>
      </c>
      <c r="D388" s="35"/>
      <c r="E388" s="35"/>
      <c r="F388" s="35"/>
      <c r="G388" s="36"/>
      <c r="H388" s="4">
        <f>LEN(C388)</f>
        <v>6</v>
      </c>
      <c r="I388" s="11">
        <f>MOD(H388,2)*4+FLOOR(H388/2,1)*6</f>
        <v>18</v>
      </c>
      <c r="J388" s="12">
        <f>I388+I389</f>
        <v>54</v>
      </c>
      <c r="K388" s="20"/>
      <c r="L388" s="13" t="str">
        <f>IF(R388&lt;=12,"有效","无效")</f>
        <v>有效</v>
      </c>
      <c r="M388" s="35" t="s">
        <v>945</v>
      </c>
      <c r="N388" s="35"/>
      <c r="O388" s="35"/>
      <c r="P388" s="35"/>
      <c r="Q388" s="36"/>
      <c r="R388" s="10">
        <f>LEN(M388)</f>
        <v>9</v>
      </c>
      <c r="S388" s="10">
        <f>MOD(R388,2)*4+FLOOR(R388/2,1)*6</f>
        <v>28</v>
      </c>
      <c r="T388" s="12">
        <f>S388+S389</f>
        <v>50</v>
      </c>
    </row>
    <row r="389" spans="1:20" ht="20" customHeight="1">
      <c r="A389" s="22"/>
      <c r="B389" s="6" t="str">
        <f>IF(H389&lt;=12,"有效","无效")</f>
        <v>有效</v>
      </c>
      <c r="C389" s="34" t="s">
        <v>2108</v>
      </c>
      <c r="D389" s="35"/>
      <c r="E389" s="35"/>
      <c r="F389" s="35"/>
      <c r="G389" s="36"/>
      <c r="H389" s="4">
        <f>LEN(C389)</f>
        <v>12</v>
      </c>
      <c r="I389" s="11">
        <f>MOD(H389,2)*4+FLOOR(H389/2,1)*6</f>
        <v>36</v>
      </c>
      <c r="J389" s="12" t="str">
        <f>IF(J388&lt;I387,"有效","无效")</f>
        <v>有效</v>
      </c>
      <c r="K389" s="20"/>
      <c r="L389" s="6" t="str">
        <f>IF(R389&lt;=12,"有效","无效")</f>
        <v>有效</v>
      </c>
      <c r="M389" s="34" t="s">
        <v>946</v>
      </c>
      <c r="N389" s="35"/>
      <c r="O389" s="35"/>
      <c r="P389" s="35"/>
      <c r="Q389" s="36"/>
      <c r="R389" s="10">
        <f>LEN(M389)</f>
        <v>7</v>
      </c>
      <c r="S389" s="10">
        <f>MOD(R389,2)*4+FLOOR(R389/2,1)*6</f>
        <v>22</v>
      </c>
      <c r="T389" s="12" t="str">
        <f>IF(T388&lt;I387,"有效","无效")</f>
        <v>有效</v>
      </c>
    </row>
    <row r="390" spans="1:20" ht="20" customHeight="1">
      <c r="A390" s="22"/>
      <c r="B390" s="6" t="str">
        <f>IF(H390&lt;=12,"有效","无效")</f>
        <v>有效</v>
      </c>
      <c r="C390" s="34" t="s">
        <v>2242</v>
      </c>
      <c r="D390" s="35"/>
      <c r="E390" s="35"/>
      <c r="F390" s="35"/>
      <c r="G390" s="36"/>
      <c r="H390" s="4">
        <f>LEN(C390)</f>
        <v>4</v>
      </c>
      <c r="I390" s="11">
        <f>MOD(H390,2)*4+FLOOR(H390/2,1)*6</f>
        <v>12</v>
      </c>
      <c r="J390" s="12">
        <f>I390+I391</f>
        <v>34</v>
      </c>
      <c r="K390" s="20"/>
      <c r="L390" s="6" t="str">
        <f>IF(R390&lt;=12,"有效","无效")</f>
        <v>有效</v>
      </c>
      <c r="M390" s="34" t="s">
        <v>947</v>
      </c>
      <c r="N390" s="35"/>
      <c r="O390" s="35"/>
      <c r="P390" s="35"/>
      <c r="Q390" s="36"/>
      <c r="R390" s="10">
        <f>LEN(M390)</f>
        <v>8</v>
      </c>
      <c r="S390" s="10">
        <f>MOD(R390,2)*4+FLOOR(R390/2,1)*6</f>
        <v>24</v>
      </c>
      <c r="T390" s="12">
        <f>S390+S391</f>
        <v>52</v>
      </c>
    </row>
    <row r="391" spans="1:20" ht="20" customHeight="1">
      <c r="A391" s="22"/>
      <c r="B391" s="6" t="str">
        <f>IF(H391&lt;=12,"有效","无效")</f>
        <v>有效</v>
      </c>
      <c r="C391" s="34" t="s">
        <v>2241</v>
      </c>
      <c r="D391" s="35"/>
      <c r="E391" s="35"/>
      <c r="F391" s="35"/>
      <c r="G391" s="36"/>
      <c r="H391" s="4">
        <f>LEN(C391)</f>
        <v>7</v>
      </c>
      <c r="I391" s="11">
        <f>MOD(H391,2)*4+FLOOR(H391/2,1)*6</f>
        <v>22</v>
      </c>
      <c r="J391" s="12" t="str">
        <f>IF(J390&lt;I387,"有效","无效")</f>
        <v>有效</v>
      </c>
      <c r="K391" s="20"/>
      <c r="L391" s="6" t="str">
        <f>IF(R391&lt;=12,"有效","无效")</f>
        <v>有效</v>
      </c>
      <c r="M391" s="34" t="s">
        <v>948</v>
      </c>
      <c r="N391" s="35"/>
      <c r="O391" s="35"/>
      <c r="P391" s="35"/>
      <c r="Q391" s="36"/>
      <c r="R391" s="10">
        <f>LEN(M391)</f>
        <v>9</v>
      </c>
      <c r="S391" s="10">
        <f>MOD(R391,2)*4+FLOOR(R391/2,1)*6</f>
        <v>28</v>
      </c>
      <c r="T391" s="12" t="str">
        <f>IF(T390&lt;I387,"有效","无效")</f>
        <v>有效</v>
      </c>
    </row>
    <row r="392" spans="1:20" ht="20" customHeight="1">
      <c r="A392" s="22">
        <v>79</v>
      </c>
      <c r="B392" s="23" t="s">
        <v>120</v>
      </c>
      <c r="C392" s="24" t="s">
        <v>121</v>
      </c>
      <c r="D392" s="14">
        <f>LEN($B392)</f>
        <v>3</v>
      </c>
      <c r="E392" s="14">
        <f>LEN(C392)+3</f>
        <v>5</v>
      </c>
      <c r="F392" s="14">
        <f>MOD(D392,2)*4+FLOOR(D392/2,1)*6</f>
        <v>10</v>
      </c>
      <c r="G392" s="14">
        <f>MOD(E392,2)*4+FLOOR(E392/2,1)*6</f>
        <v>16</v>
      </c>
      <c r="H392" s="14">
        <v>12</v>
      </c>
      <c r="I392" s="14">
        <f>108-H392-G392-F392</f>
        <v>70</v>
      </c>
    </row>
    <row r="393" spans="1:20" ht="20" customHeight="1">
      <c r="A393" s="22"/>
      <c r="B393" s="6" t="str">
        <f>IF(H393&lt;=12,"有效","无效")</f>
        <v>有效</v>
      </c>
      <c r="C393" s="31" t="s">
        <v>2244</v>
      </c>
      <c r="D393" s="32"/>
      <c r="E393" s="32"/>
      <c r="F393" s="32"/>
      <c r="G393" s="33"/>
      <c r="H393" s="4">
        <f>LEN(C393)</f>
        <v>10</v>
      </c>
      <c r="I393" s="11">
        <f>MOD(H393,2)*4+FLOOR(H393/2,1)*6</f>
        <v>30</v>
      </c>
      <c r="J393" s="12">
        <f>I393+I394</f>
        <v>64</v>
      </c>
      <c r="K393" s="20"/>
      <c r="L393" s="13" t="str">
        <f>IF(R393&lt;=12,"有效","无效")</f>
        <v>有效</v>
      </c>
      <c r="M393" s="35" t="s">
        <v>949</v>
      </c>
      <c r="N393" s="35"/>
      <c r="O393" s="35"/>
      <c r="P393" s="35"/>
      <c r="Q393" s="36"/>
      <c r="R393" s="10">
        <f>LEN(M393)</f>
        <v>5</v>
      </c>
      <c r="S393" s="10">
        <f>MOD(R393,2)*4+FLOOR(R393/2,1)*6</f>
        <v>16</v>
      </c>
      <c r="T393" s="12">
        <f>S393+S394</f>
        <v>40</v>
      </c>
    </row>
    <row r="394" spans="1:20" ht="20" customHeight="1">
      <c r="A394" s="22"/>
      <c r="B394" s="6" t="str">
        <f>IF(H394&lt;=12,"有效","无效")</f>
        <v>有效</v>
      </c>
      <c r="C394" s="31" t="s">
        <v>2243</v>
      </c>
      <c r="D394" s="32"/>
      <c r="E394" s="32"/>
      <c r="F394" s="32"/>
      <c r="G394" s="33"/>
      <c r="H394" s="4">
        <f>LEN(C394)</f>
        <v>11</v>
      </c>
      <c r="I394" s="11">
        <f>MOD(H394,2)*4+FLOOR(H394/2,1)*6</f>
        <v>34</v>
      </c>
      <c r="J394" s="12" t="str">
        <f>IF(J393&lt;I392,"有效","无效")</f>
        <v>有效</v>
      </c>
      <c r="K394" s="20"/>
      <c r="L394" s="6" t="str">
        <f>IF(R394&lt;=12,"有效","无效")</f>
        <v>有效</v>
      </c>
      <c r="M394" s="34" t="s">
        <v>950</v>
      </c>
      <c r="N394" s="35"/>
      <c r="O394" s="35"/>
      <c r="P394" s="35"/>
      <c r="Q394" s="36"/>
      <c r="R394" s="10">
        <f>LEN(M394)</f>
        <v>8</v>
      </c>
      <c r="S394" s="10">
        <f>MOD(R394,2)*4+FLOOR(R394/2,1)*6</f>
        <v>24</v>
      </c>
      <c r="T394" s="12" t="str">
        <f>IF(T393&lt;I392,"有效","无效")</f>
        <v>有效</v>
      </c>
    </row>
    <row r="395" spans="1:20" ht="20" customHeight="1">
      <c r="A395" s="22"/>
      <c r="B395" s="6" t="str">
        <f>IF(H395&lt;=12,"有效","无效")</f>
        <v>有效</v>
      </c>
      <c r="C395" s="31" t="s">
        <v>2246</v>
      </c>
      <c r="D395" s="32"/>
      <c r="E395" s="32"/>
      <c r="F395" s="32"/>
      <c r="G395" s="33"/>
      <c r="H395" s="4">
        <f>LEN(C395)</f>
        <v>5</v>
      </c>
      <c r="I395" s="11">
        <f>MOD(H395,2)*4+FLOOR(H395/2,1)*6</f>
        <v>16</v>
      </c>
      <c r="J395" s="12">
        <f>I395+I396</f>
        <v>34</v>
      </c>
      <c r="K395" s="20"/>
      <c r="L395" s="6" t="str">
        <f>IF(R395&lt;=12,"有效","无效")</f>
        <v>有效</v>
      </c>
      <c r="M395" s="34" t="s">
        <v>951</v>
      </c>
      <c r="N395" s="35"/>
      <c r="O395" s="35"/>
      <c r="P395" s="35"/>
      <c r="Q395" s="36"/>
      <c r="R395" s="10">
        <f>LEN(M395)</f>
        <v>9</v>
      </c>
      <c r="S395" s="10">
        <f>MOD(R395,2)*4+FLOOR(R395/2,1)*6</f>
        <v>28</v>
      </c>
      <c r="T395" s="12">
        <f>S395+S396</f>
        <v>64</v>
      </c>
    </row>
    <row r="396" spans="1:20" ht="20" customHeight="1">
      <c r="A396" s="22"/>
      <c r="B396" s="6" t="str">
        <f>IF(H396&lt;=12,"有效","无效")</f>
        <v>有效</v>
      </c>
      <c r="C396" s="31" t="s">
        <v>2245</v>
      </c>
      <c r="D396" s="32"/>
      <c r="E396" s="32"/>
      <c r="F396" s="32"/>
      <c r="G396" s="33"/>
      <c r="H396" s="4">
        <f>LEN(C396)</f>
        <v>6</v>
      </c>
      <c r="I396" s="11">
        <f>MOD(H396,2)*4+FLOOR(H396/2,1)*6</f>
        <v>18</v>
      </c>
      <c r="J396" s="12" t="str">
        <f>IF(J395&lt;I392,"有效","无效")</f>
        <v>有效</v>
      </c>
      <c r="K396" s="20"/>
      <c r="L396" s="6" t="str">
        <f>IF(R396&lt;=12,"有效","无效")</f>
        <v>有效</v>
      </c>
      <c r="M396" s="34" t="s">
        <v>952</v>
      </c>
      <c r="N396" s="35"/>
      <c r="O396" s="35"/>
      <c r="P396" s="35"/>
      <c r="Q396" s="36"/>
      <c r="R396" s="10">
        <f>LEN(M396)</f>
        <v>12</v>
      </c>
      <c r="S396" s="10">
        <f>MOD(R396,2)*4+FLOOR(R396/2,1)*6</f>
        <v>36</v>
      </c>
      <c r="T396" s="12" t="str">
        <f>IF(T395&lt;I392,"有效","无效")</f>
        <v>有效</v>
      </c>
    </row>
    <row r="397" spans="1:20" ht="20" customHeight="1">
      <c r="A397" s="22">
        <v>80</v>
      </c>
      <c r="B397" s="23" t="s">
        <v>122</v>
      </c>
      <c r="C397" s="24" t="s">
        <v>123</v>
      </c>
      <c r="D397" s="14">
        <f>LEN($B397)</f>
        <v>3</v>
      </c>
      <c r="E397" s="14">
        <f>LEN(C397)+3</f>
        <v>6</v>
      </c>
      <c r="F397" s="14">
        <f>MOD(D397,2)*4+FLOOR(D397/2,1)*6</f>
        <v>10</v>
      </c>
      <c r="G397" s="14">
        <f>MOD(E397,2)*4+FLOOR(E397/2,1)*6</f>
        <v>18</v>
      </c>
      <c r="H397" s="14">
        <v>12</v>
      </c>
      <c r="I397" s="14">
        <f>108-H397-G397-F397</f>
        <v>68</v>
      </c>
      <c r="J397" s="30"/>
    </row>
    <row r="398" spans="1:20" ht="20" customHeight="1">
      <c r="A398" s="22"/>
      <c r="B398" s="6" t="str">
        <f>IF(H398&lt;=12,"有效","无效")</f>
        <v>有效</v>
      </c>
      <c r="C398" s="31" t="s">
        <v>2110</v>
      </c>
      <c r="D398" s="32"/>
      <c r="E398" s="32"/>
      <c r="F398" s="32"/>
      <c r="G398" s="33"/>
      <c r="H398" s="4">
        <f>LEN(C398)</f>
        <v>12</v>
      </c>
      <c r="I398" s="11">
        <f>MOD(H398,2)*4+FLOOR(H398/2,1)*6</f>
        <v>36</v>
      </c>
      <c r="J398" s="12">
        <f>I398+I399</f>
        <v>66</v>
      </c>
      <c r="K398" s="20"/>
      <c r="L398" s="13" t="str">
        <f>IF(R398&lt;=12,"有效","无效")</f>
        <v>有效</v>
      </c>
      <c r="M398" s="35" t="s">
        <v>955</v>
      </c>
      <c r="N398" s="35"/>
      <c r="O398" s="35"/>
      <c r="P398" s="35"/>
      <c r="Q398" s="36"/>
      <c r="R398" s="10">
        <f>LEN(M398)</f>
        <v>4</v>
      </c>
      <c r="S398" s="10">
        <f>MOD(R398,2)*4+FLOOR(R398/2,1)*6</f>
        <v>12</v>
      </c>
      <c r="T398" s="12">
        <f>S398+S399</f>
        <v>34</v>
      </c>
    </row>
    <row r="399" spans="1:20" ht="20" customHeight="1">
      <c r="A399" s="22"/>
      <c r="B399" s="6" t="str">
        <f>IF(H399&lt;=12,"有效","无效")</f>
        <v>有效</v>
      </c>
      <c r="C399" s="31" t="s">
        <v>2109</v>
      </c>
      <c r="D399" s="32"/>
      <c r="E399" s="32"/>
      <c r="F399" s="32"/>
      <c r="G399" s="33"/>
      <c r="H399" s="4">
        <f>LEN(C399)</f>
        <v>10</v>
      </c>
      <c r="I399" s="11">
        <f>MOD(H399,2)*4+FLOOR(H399/2,1)*6</f>
        <v>30</v>
      </c>
      <c r="J399" s="12" t="str">
        <f>IF(J398&lt;I397,"有效","无效")</f>
        <v>有效</v>
      </c>
      <c r="K399" s="20"/>
      <c r="L399" s="6" t="str">
        <f>IF(R399&lt;=12,"有效","无效")</f>
        <v>有效</v>
      </c>
      <c r="M399" s="34" t="s">
        <v>956</v>
      </c>
      <c r="N399" s="35"/>
      <c r="O399" s="35"/>
      <c r="P399" s="35"/>
      <c r="Q399" s="36"/>
      <c r="R399" s="10">
        <f>LEN(M399)</f>
        <v>7</v>
      </c>
      <c r="S399" s="10">
        <f>MOD(R399,2)*4+FLOOR(R399/2,1)*6</f>
        <v>22</v>
      </c>
      <c r="T399" s="12" t="str">
        <f>IF(T398&lt;I397,"有效","无效")</f>
        <v>有效</v>
      </c>
    </row>
    <row r="400" spans="1:20" ht="20" customHeight="1">
      <c r="A400" s="22"/>
      <c r="B400" s="6" t="str">
        <f>IF(H400&lt;=12,"有效","无效")</f>
        <v>有效</v>
      </c>
      <c r="C400" s="31" t="s">
        <v>2111</v>
      </c>
      <c r="D400" s="32"/>
      <c r="E400" s="32"/>
      <c r="F400" s="32"/>
      <c r="G400" s="33"/>
      <c r="H400" s="4">
        <f>LEN(C400)</f>
        <v>5</v>
      </c>
      <c r="I400" s="11">
        <f>MOD(H400,2)*4+FLOOR(H400/2,1)*6</f>
        <v>16</v>
      </c>
      <c r="J400" s="12">
        <f>I400+I401</f>
        <v>28</v>
      </c>
      <c r="K400" s="20"/>
      <c r="L400" s="6" t="str">
        <f>IF(R400&lt;=12,"有效","无效")</f>
        <v>有效</v>
      </c>
      <c r="M400" s="34" t="s">
        <v>953</v>
      </c>
      <c r="N400" s="35"/>
      <c r="O400" s="35"/>
      <c r="P400" s="35"/>
      <c r="Q400" s="36"/>
      <c r="R400" s="10">
        <f>LEN(M400)</f>
        <v>12</v>
      </c>
      <c r="S400" s="10">
        <f>MOD(R400,2)*4+FLOOR(R400/2,1)*6</f>
        <v>36</v>
      </c>
      <c r="T400" s="12">
        <f>S400+S401</f>
        <v>66</v>
      </c>
    </row>
    <row r="401" spans="1:20" ht="20" customHeight="1">
      <c r="A401" s="22"/>
      <c r="B401" s="6" t="str">
        <f>IF(H401&lt;=12,"有效","无效")</f>
        <v>有效</v>
      </c>
      <c r="C401" s="31" t="s">
        <v>1716</v>
      </c>
      <c r="D401" s="32"/>
      <c r="E401" s="32"/>
      <c r="F401" s="32"/>
      <c r="G401" s="33"/>
      <c r="H401" s="4">
        <f>LEN(C401)</f>
        <v>4</v>
      </c>
      <c r="I401" s="11">
        <f>MOD(H401,2)*4+FLOOR(H401/2,1)*6</f>
        <v>12</v>
      </c>
      <c r="J401" s="12" t="str">
        <f>IF(J400&lt;I397,"有效","无效")</f>
        <v>有效</v>
      </c>
      <c r="K401" s="20"/>
      <c r="L401" s="6" t="str">
        <f>IF(R401&lt;=12,"有效","无效")</f>
        <v>有效</v>
      </c>
      <c r="M401" s="34" t="s">
        <v>954</v>
      </c>
      <c r="N401" s="35"/>
      <c r="O401" s="35"/>
      <c r="P401" s="35"/>
      <c r="Q401" s="36"/>
      <c r="R401" s="10">
        <f>LEN(M401)</f>
        <v>10</v>
      </c>
      <c r="S401" s="10">
        <f>MOD(R401,2)*4+FLOOR(R401/2,1)*6</f>
        <v>30</v>
      </c>
      <c r="T401" s="12" t="str">
        <f>IF(T400&lt;I397,"有效","无效")</f>
        <v>有效</v>
      </c>
    </row>
    <row r="402" spans="1:20" ht="20" customHeight="1">
      <c r="A402" s="22">
        <v>81</v>
      </c>
      <c r="B402" s="23" t="s">
        <v>124</v>
      </c>
      <c r="C402" s="24" t="s">
        <v>125</v>
      </c>
      <c r="D402" s="14">
        <f>LEN($B402)</f>
        <v>3</v>
      </c>
      <c r="E402" s="14">
        <f>LEN(C402)+3</f>
        <v>5</v>
      </c>
      <c r="F402" s="14">
        <f>MOD(D402,2)*4+FLOOR(D402/2,1)*6</f>
        <v>10</v>
      </c>
      <c r="G402" s="14">
        <f>MOD(E402,2)*4+FLOOR(E402/2,1)*6</f>
        <v>16</v>
      </c>
      <c r="H402" s="14">
        <v>12</v>
      </c>
      <c r="I402" s="14">
        <f>108-H402-G402-F402</f>
        <v>70</v>
      </c>
      <c r="J402" s="30"/>
    </row>
    <row r="403" spans="1:20" ht="20" customHeight="1">
      <c r="A403" s="22"/>
      <c r="B403" s="6" t="str">
        <f>IF(H403&lt;=12,"有效","无效")</f>
        <v>有效</v>
      </c>
      <c r="C403" s="34" t="s">
        <v>2112</v>
      </c>
      <c r="D403" s="35"/>
      <c r="E403" s="35"/>
      <c r="F403" s="35"/>
      <c r="G403" s="36"/>
      <c r="H403" s="4">
        <f>LEN(C403)</f>
        <v>4</v>
      </c>
      <c r="I403" s="11">
        <f>MOD(H403,2)*4+FLOOR(H403/2,1)*6</f>
        <v>12</v>
      </c>
      <c r="J403" s="12">
        <f>I403+I404</f>
        <v>42</v>
      </c>
      <c r="K403" s="20"/>
      <c r="L403" s="13" t="str">
        <f>IF(R403&lt;=12,"有效","无效")</f>
        <v>有效</v>
      </c>
      <c r="M403" s="32" t="s">
        <v>958</v>
      </c>
      <c r="N403" s="32"/>
      <c r="O403" s="32"/>
      <c r="P403" s="32"/>
      <c r="Q403" s="33"/>
      <c r="R403" s="10">
        <f>LEN(M403)</f>
        <v>8</v>
      </c>
      <c r="S403" s="10">
        <f>MOD(R403,2)*4+FLOOR(R403/2,1)*6</f>
        <v>24</v>
      </c>
      <c r="T403" s="12">
        <f>S403+S404</f>
        <v>60</v>
      </c>
    </row>
    <row r="404" spans="1:20" ht="20" customHeight="1">
      <c r="A404" s="22"/>
      <c r="B404" s="6" t="str">
        <f>IF(H404&lt;=12,"有效","无效")</f>
        <v>有效</v>
      </c>
      <c r="C404" s="34" t="s">
        <v>2113</v>
      </c>
      <c r="D404" s="35"/>
      <c r="E404" s="35"/>
      <c r="F404" s="35"/>
      <c r="G404" s="36"/>
      <c r="H404" s="4">
        <f>LEN(C404)</f>
        <v>10</v>
      </c>
      <c r="I404" s="11">
        <f>MOD(H404,2)*4+FLOOR(H404/2,1)*6</f>
        <v>30</v>
      </c>
      <c r="J404" s="12" t="str">
        <f>IF(J403&lt;I402,"有效","无效")</f>
        <v>有效</v>
      </c>
      <c r="K404" s="20"/>
      <c r="L404" s="6" t="str">
        <f>IF(R404&lt;=12,"有效","无效")</f>
        <v>有效</v>
      </c>
      <c r="M404" s="31" t="s">
        <v>2287</v>
      </c>
      <c r="N404" s="32"/>
      <c r="O404" s="32"/>
      <c r="P404" s="32"/>
      <c r="Q404" s="33"/>
      <c r="R404" s="10">
        <f>LEN(M404)</f>
        <v>12</v>
      </c>
      <c r="S404" s="10">
        <f>MOD(R404,2)*4+FLOOR(R404/2,1)*6</f>
        <v>36</v>
      </c>
      <c r="T404" s="12" t="str">
        <f>IF(T403&lt;I402,"有效","无效")</f>
        <v>有效</v>
      </c>
    </row>
    <row r="405" spans="1:20" ht="20" customHeight="1">
      <c r="A405" s="22"/>
      <c r="B405" s="6" t="str">
        <f>IF(H405&lt;=12,"有效","无效")</f>
        <v>有效</v>
      </c>
      <c r="C405" s="34" t="s">
        <v>2114</v>
      </c>
      <c r="D405" s="35"/>
      <c r="E405" s="35"/>
      <c r="F405" s="35"/>
      <c r="G405" s="36"/>
      <c r="H405" s="4">
        <f>LEN(C405)</f>
        <v>12</v>
      </c>
      <c r="I405" s="11">
        <f>MOD(H405,2)*4+FLOOR(H405/2,1)*6</f>
        <v>36</v>
      </c>
      <c r="J405" s="12">
        <f>I405+I406</f>
        <v>60</v>
      </c>
      <c r="K405" s="20"/>
      <c r="L405" s="6" t="str">
        <f>IF(R405&lt;=12,"有效","无效")</f>
        <v>有效</v>
      </c>
      <c r="M405" s="31" t="s">
        <v>2289</v>
      </c>
      <c r="N405" s="32"/>
      <c r="O405" s="32"/>
      <c r="P405" s="32"/>
      <c r="Q405" s="33"/>
      <c r="R405" s="10">
        <f>LEN(M405)</f>
        <v>2</v>
      </c>
      <c r="S405" s="10">
        <f>MOD(R405,2)*4+FLOOR(R405/2,1)*6</f>
        <v>6</v>
      </c>
      <c r="T405" s="12">
        <f>S405+S406</f>
        <v>28</v>
      </c>
    </row>
    <row r="406" spans="1:20" ht="20" customHeight="1">
      <c r="A406" s="22"/>
      <c r="B406" s="6" t="str">
        <f>IF(H406&lt;=12,"有效","无效")</f>
        <v>有效</v>
      </c>
      <c r="C406" s="34" t="s">
        <v>957</v>
      </c>
      <c r="D406" s="35"/>
      <c r="E406" s="35"/>
      <c r="F406" s="35"/>
      <c r="G406" s="36"/>
      <c r="H406" s="4">
        <f>LEN(C406)</f>
        <v>8</v>
      </c>
      <c r="I406" s="11">
        <f>MOD(H406,2)*4+FLOOR(H406/2,1)*6</f>
        <v>24</v>
      </c>
      <c r="J406" s="12" t="str">
        <f>IF(J405&lt;I402,"有效","无效")</f>
        <v>有效</v>
      </c>
      <c r="K406" s="20"/>
      <c r="L406" s="6" t="str">
        <f>IF(R406&lt;=12,"有效","无效")</f>
        <v>有效</v>
      </c>
      <c r="M406" s="31" t="s">
        <v>2288</v>
      </c>
      <c r="N406" s="32"/>
      <c r="O406" s="32"/>
      <c r="P406" s="32"/>
      <c r="Q406" s="33"/>
      <c r="R406" s="10">
        <f>LEN(M406)</f>
        <v>7</v>
      </c>
      <c r="S406" s="10">
        <f>MOD(R406,2)*4+FLOOR(R406/2,1)*6</f>
        <v>22</v>
      </c>
      <c r="T406" s="12" t="str">
        <f>IF(T405&lt;I402,"有效","无效")</f>
        <v>有效</v>
      </c>
    </row>
    <row r="407" spans="1:20" ht="20" customHeight="1">
      <c r="A407" s="22">
        <v>82</v>
      </c>
      <c r="B407" s="23" t="s">
        <v>126</v>
      </c>
      <c r="C407" s="24" t="s">
        <v>125</v>
      </c>
      <c r="D407" s="14">
        <f>LEN($B407)</f>
        <v>5</v>
      </c>
      <c r="E407" s="14">
        <f>LEN(C407)+3</f>
        <v>5</v>
      </c>
      <c r="F407" s="14">
        <f>MOD(D407,2)*4+FLOOR(D407/2,1)*6</f>
        <v>16</v>
      </c>
      <c r="G407" s="14">
        <f>MOD(E407,2)*4+FLOOR(E407/2,1)*6</f>
        <v>16</v>
      </c>
      <c r="H407" s="14">
        <v>12</v>
      </c>
      <c r="I407" s="14">
        <f>108-H407-G407-F407</f>
        <v>64</v>
      </c>
    </row>
    <row r="408" spans="1:20" ht="20" customHeight="1">
      <c r="A408" s="22"/>
      <c r="B408" s="6" t="str">
        <f>IF(H408&lt;=12,"有效","无效")</f>
        <v>有效</v>
      </c>
      <c r="C408" s="31" t="s">
        <v>959</v>
      </c>
      <c r="D408" s="32"/>
      <c r="E408" s="32"/>
      <c r="F408" s="32"/>
      <c r="G408" s="33"/>
      <c r="H408" s="4">
        <f>LEN(C408)</f>
        <v>5</v>
      </c>
      <c r="I408" s="11">
        <f>MOD(H408,2)*4+FLOOR(H408/2,1)*6</f>
        <v>16</v>
      </c>
      <c r="J408" s="12">
        <f>I408+I409</f>
        <v>52</v>
      </c>
      <c r="K408" s="20"/>
      <c r="L408" s="13" t="str">
        <f>IF(R408&lt;=12,"有效","无效")</f>
        <v>有效</v>
      </c>
      <c r="M408" s="35" t="s">
        <v>963</v>
      </c>
      <c r="N408" s="35"/>
      <c r="O408" s="35"/>
      <c r="P408" s="35"/>
      <c r="Q408" s="36"/>
      <c r="R408" s="10">
        <f>LEN(M408)</f>
        <v>8</v>
      </c>
      <c r="S408" s="10">
        <f>MOD(R408,2)*4+FLOOR(R408/2,1)*6</f>
        <v>24</v>
      </c>
      <c r="T408" s="12">
        <f>S408+S409</f>
        <v>42</v>
      </c>
    </row>
    <row r="409" spans="1:20" ht="20" customHeight="1">
      <c r="A409" s="22"/>
      <c r="B409" s="6" t="str">
        <f>IF(H409&lt;=12,"有效","无效")</f>
        <v>有效</v>
      </c>
      <c r="C409" s="31" t="s">
        <v>960</v>
      </c>
      <c r="D409" s="32"/>
      <c r="E409" s="32"/>
      <c r="F409" s="32"/>
      <c r="G409" s="33"/>
      <c r="H409" s="4">
        <f>LEN(C409)</f>
        <v>12</v>
      </c>
      <c r="I409" s="11">
        <f>MOD(H409,2)*4+FLOOR(H409/2,1)*6</f>
        <v>36</v>
      </c>
      <c r="J409" s="12" t="str">
        <f>IF(J408&lt;I407,"有效","无效")</f>
        <v>有效</v>
      </c>
      <c r="K409" s="20"/>
      <c r="L409" s="6" t="str">
        <f>IF(R409&lt;=12,"有效","无效")</f>
        <v>有效</v>
      </c>
      <c r="M409" s="34" t="s">
        <v>964</v>
      </c>
      <c r="N409" s="35"/>
      <c r="O409" s="35"/>
      <c r="P409" s="35"/>
      <c r="Q409" s="36"/>
      <c r="R409" s="10">
        <f>LEN(M409)</f>
        <v>6</v>
      </c>
      <c r="S409" s="10">
        <f>MOD(R409,2)*4+FLOOR(R409/2,1)*6</f>
        <v>18</v>
      </c>
      <c r="T409" s="12" t="str">
        <f>IF(T408&lt;I407,"有效","无效")</f>
        <v>有效</v>
      </c>
    </row>
    <row r="410" spans="1:20" ht="20" customHeight="1">
      <c r="A410" s="22"/>
      <c r="B410" s="6" t="str">
        <f>IF(H410&lt;=12,"有效","无效")</f>
        <v>有效</v>
      </c>
      <c r="C410" s="31" t="s">
        <v>961</v>
      </c>
      <c r="D410" s="32"/>
      <c r="E410" s="32"/>
      <c r="F410" s="32"/>
      <c r="G410" s="33"/>
      <c r="H410" s="4">
        <f>LEN(C410)</f>
        <v>4</v>
      </c>
      <c r="I410" s="11">
        <f>MOD(H410,2)*4+FLOOR(H410/2,1)*6</f>
        <v>12</v>
      </c>
      <c r="J410" s="12">
        <f>I410+I411</f>
        <v>42</v>
      </c>
      <c r="K410" s="20"/>
      <c r="L410" s="6" t="str">
        <f>IF(R410&lt;=12,"有效","无效")</f>
        <v>有效</v>
      </c>
      <c r="M410" s="34" t="s">
        <v>965</v>
      </c>
      <c r="N410" s="35"/>
      <c r="O410" s="35"/>
      <c r="P410" s="35"/>
      <c r="Q410" s="36"/>
      <c r="R410" s="10">
        <f>LEN(M410)</f>
        <v>7</v>
      </c>
      <c r="S410" s="10">
        <f>MOD(R410,2)*4+FLOOR(R410/2,1)*6</f>
        <v>22</v>
      </c>
      <c r="T410" s="12">
        <f>S410+S411</f>
        <v>40</v>
      </c>
    </row>
    <row r="411" spans="1:20" ht="20" customHeight="1">
      <c r="A411" s="22"/>
      <c r="B411" s="6" t="str">
        <f>IF(H411&lt;=12,"有效","无效")</f>
        <v>有效</v>
      </c>
      <c r="C411" s="31" t="s">
        <v>962</v>
      </c>
      <c r="D411" s="32"/>
      <c r="E411" s="32"/>
      <c r="F411" s="32"/>
      <c r="G411" s="33"/>
      <c r="H411" s="4">
        <f>LEN(C411)</f>
        <v>10</v>
      </c>
      <c r="I411" s="11">
        <f>MOD(H411,2)*4+FLOOR(H411/2,1)*6</f>
        <v>30</v>
      </c>
      <c r="J411" s="12" t="str">
        <f>IF(J410&lt;I407,"有效","无效")</f>
        <v>有效</v>
      </c>
      <c r="K411" s="20"/>
      <c r="L411" s="6" t="str">
        <f>IF(R411&lt;=12,"有效","无效")</f>
        <v>有效</v>
      </c>
      <c r="M411" s="34" t="s">
        <v>966</v>
      </c>
      <c r="N411" s="35"/>
      <c r="O411" s="35"/>
      <c r="P411" s="35"/>
      <c r="Q411" s="36"/>
      <c r="R411" s="10">
        <f>LEN(M411)</f>
        <v>6</v>
      </c>
      <c r="S411" s="10">
        <f>MOD(R411,2)*4+FLOOR(R411/2,1)*6</f>
        <v>18</v>
      </c>
      <c r="T411" s="12" t="str">
        <f>IF(T410&lt;I407,"有效","无效")</f>
        <v>有效</v>
      </c>
    </row>
    <row r="412" spans="1:20" ht="20" customHeight="1">
      <c r="A412" s="22">
        <v>83</v>
      </c>
      <c r="B412" s="23" t="s">
        <v>127</v>
      </c>
      <c r="C412" s="24" t="s">
        <v>128</v>
      </c>
      <c r="D412" s="14">
        <f>LEN($B412)</f>
        <v>3</v>
      </c>
      <c r="E412" s="14">
        <f>LEN(C412)+3</f>
        <v>6</v>
      </c>
      <c r="F412" s="14">
        <f>MOD(D412,2)*4+FLOOR(D412/2,1)*6</f>
        <v>10</v>
      </c>
      <c r="G412" s="14">
        <f>MOD(E412,2)*4+FLOOR(E412/2,1)*6</f>
        <v>18</v>
      </c>
      <c r="H412" s="14">
        <v>12</v>
      </c>
      <c r="I412" s="14">
        <f>108-H412-G412-F412</f>
        <v>68</v>
      </c>
    </row>
    <row r="413" spans="1:20" ht="20" customHeight="1">
      <c r="A413" s="22"/>
      <c r="B413" s="6" t="str">
        <f>IF(H413&lt;=12,"有效","无效")</f>
        <v>有效</v>
      </c>
      <c r="C413" s="34" t="s">
        <v>969</v>
      </c>
      <c r="D413" s="35"/>
      <c r="E413" s="35"/>
      <c r="F413" s="35"/>
      <c r="G413" s="36"/>
      <c r="H413" s="4">
        <f>LEN(C413)</f>
        <v>10</v>
      </c>
      <c r="I413" s="11">
        <f>MOD(H413,2)*4+FLOOR(H413/2,1)*6</f>
        <v>30</v>
      </c>
      <c r="J413" s="12">
        <f>I413+I414</f>
        <v>54</v>
      </c>
      <c r="K413" s="20"/>
      <c r="L413" s="13" t="str">
        <f>IF(R413&lt;=12,"有效","无效")</f>
        <v>有效</v>
      </c>
      <c r="M413" s="35" t="s">
        <v>971</v>
      </c>
      <c r="N413" s="35"/>
      <c r="O413" s="35"/>
      <c r="P413" s="35"/>
      <c r="Q413" s="36"/>
      <c r="R413" s="10">
        <f>LEN(M413)</f>
        <v>4</v>
      </c>
      <c r="S413" s="10">
        <f>MOD(R413,2)*4+FLOOR(R413/2,1)*6</f>
        <v>12</v>
      </c>
      <c r="T413" s="12">
        <f>S413+S414</f>
        <v>40</v>
      </c>
    </row>
    <row r="414" spans="1:20" ht="20" customHeight="1">
      <c r="A414" s="22"/>
      <c r="B414" s="6" t="str">
        <f>IF(H414&lt;=12,"有效","无效")</f>
        <v>有效</v>
      </c>
      <c r="C414" s="34" t="s">
        <v>970</v>
      </c>
      <c r="D414" s="35"/>
      <c r="E414" s="35"/>
      <c r="F414" s="35"/>
      <c r="G414" s="36"/>
      <c r="H414" s="4">
        <f>LEN(C414)</f>
        <v>8</v>
      </c>
      <c r="I414" s="11">
        <f>MOD(H414,2)*4+FLOOR(H414/2,1)*6</f>
        <v>24</v>
      </c>
      <c r="J414" s="12" t="str">
        <f>IF(J413&lt;I412,"有效","无效")</f>
        <v>有效</v>
      </c>
      <c r="K414" s="20"/>
      <c r="L414" s="6" t="str">
        <f>IF(R414&lt;=12,"有效","无效")</f>
        <v>有效</v>
      </c>
      <c r="M414" s="34" t="s">
        <v>972</v>
      </c>
      <c r="N414" s="35"/>
      <c r="O414" s="35"/>
      <c r="P414" s="35"/>
      <c r="Q414" s="36"/>
      <c r="R414" s="10">
        <f>LEN(M414)</f>
        <v>9</v>
      </c>
      <c r="S414" s="10">
        <f>MOD(R414,2)*4+FLOOR(R414/2,1)*6</f>
        <v>28</v>
      </c>
      <c r="T414" s="12" t="str">
        <f>IF(T413&lt;I412,"有效","无效")</f>
        <v>有效</v>
      </c>
    </row>
    <row r="415" spans="1:20" ht="20" customHeight="1">
      <c r="A415" s="22"/>
      <c r="B415" s="6" t="str">
        <f>IF(H415&lt;=12,"有效","无效")</f>
        <v>有效</v>
      </c>
      <c r="C415" s="34" t="s">
        <v>968</v>
      </c>
      <c r="D415" s="35"/>
      <c r="E415" s="35"/>
      <c r="F415" s="35"/>
      <c r="G415" s="36"/>
      <c r="H415" s="4">
        <f>LEN(C415)</f>
        <v>7</v>
      </c>
      <c r="I415" s="11">
        <f>MOD(H415,2)*4+FLOOR(H415/2,1)*6</f>
        <v>22</v>
      </c>
      <c r="J415" s="12">
        <f>I415+I416</f>
        <v>52</v>
      </c>
      <c r="K415" s="20"/>
      <c r="L415" s="6" t="str">
        <f>IF(R415&lt;=12,"有效","无效")</f>
        <v>有效</v>
      </c>
      <c r="M415" s="34" t="s">
        <v>974</v>
      </c>
      <c r="N415" s="35"/>
      <c r="O415" s="35"/>
      <c r="P415" s="35"/>
      <c r="Q415" s="36"/>
      <c r="R415" s="10">
        <f>LEN(M415)</f>
        <v>10</v>
      </c>
      <c r="S415" s="10">
        <f>MOD(R415,2)*4+FLOOR(R415/2,1)*6</f>
        <v>30</v>
      </c>
      <c r="T415" s="12">
        <f>S415+S416</f>
        <v>54</v>
      </c>
    </row>
    <row r="416" spans="1:20" ht="20" customHeight="1">
      <c r="A416" s="22"/>
      <c r="B416" s="6" t="str">
        <f>IF(H416&lt;=12,"有效","无效")</f>
        <v>有效</v>
      </c>
      <c r="C416" s="34" t="s">
        <v>967</v>
      </c>
      <c r="D416" s="35"/>
      <c r="E416" s="35"/>
      <c r="F416" s="35"/>
      <c r="G416" s="36"/>
      <c r="H416" s="4">
        <f>LEN(C416)</f>
        <v>10</v>
      </c>
      <c r="I416" s="11">
        <f>MOD(H416,2)*4+FLOOR(H416/2,1)*6</f>
        <v>30</v>
      </c>
      <c r="J416" s="12" t="str">
        <f>IF(J415&lt;I412,"有效","无效")</f>
        <v>有效</v>
      </c>
      <c r="K416" s="20"/>
      <c r="L416" s="6" t="str">
        <f>IF(R416&lt;=12,"有效","无效")</f>
        <v>有效</v>
      </c>
      <c r="M416" s="34" t="s">
        <v>973</v>
      </c>
      <c r="N416" s="35"/>
      <c r="O416" s="35"/>
      <c r="P416" s="35"/>
      <c r="Q416" s="36"/>
      <c r="R416" s="10">
        <f>LEN(M416)</f>
        <v>8</v>
      </c>
      <c r="S416" s="10">
        <f>MOD(R416,2)*4+FLOOR(R416/2,1)*6</f>
        <v>24</v>
      </c>
      <c r="T416" s="12" t="str">
        <f>IF(T415&lt;I412,"有效","无效")</f>
        <v>有效</v>
      </c>
    </row>
    <row r="417" spans="1:20" ht="20" customHeight="1">
      <c r="A417" s="22">
        <v>84</v>
      </c>
      <c r="B417" s="23" t="s">
        <v>129</v>
      </c>
      <c r="C417" s="24" t="s">
        <v>130</v>
      </c>
      <c r="D417" s="14">
        <f>LEN($B417)</f>
        <v>2</v>
      </c>
      <c r="E417" s="14">
        <f>LEN(C417)+3</f>
        <v>6</v>
      </c>
      <c r="F417" s="14">
        <f>MOD(D417,2)*4+FLOOR(D417/2,1)*6</f>
        <v>6</v>
      </c>
      <c r="G417" s="14">
        <f>MOD(E417,2)*4+FLOOR(E417/2,1)*6</f>
        <v>18</v>
      </c>
      <c r="H417" s="14">
        <v>12</v>
      </c>
      <c r="I417" s="14">
        <f>108-H417-G417-F417</f>
        <v>72</v>
      </c>
    </row>
    <row r="418" spans="1:20" ht="20" customHeight="1">
      <c r="A418" s="22"/>
      <c r="B418" s="6" t="str">
        <f>IF(H418&lt;=12,"有效","无效")</f>
        <v>有效</v>
      </c>
      <c r="C418" s="34" t="s">
        <v>975</v>
      </c>
      <c r="D418" s="35"/>
      <c r="E418" s="35"/>
      <c r="F418" s="35"/>
      <c r="G418" s="36"/>
      <c r="H418" s="4">
        <f>LEN(C418)</f>
        <v>7</v>
      </c>
      <c r="I418" s="11">
        <f>MOD(H418,2)*4+FLOOR(H418/2,1)*6</f>
        <v>22</v>
      </c>
      <c r="J418" s="12">
        <f>I418+I419</f>
        <v>46</v>
      </c>
      <c r="K418" s="20"/>
      <c r="L418" s="13" t="str">
        <f>IF(R418&lt;=12,"有效","无效")</f>
        <v>有效</v>
      </c>
      <c r="M418" s="35" t="s">
        <v>979</v>
      </c>
      <c r="N418" s="35"/>
      <c r="O418" s="35"/>
      <c r="P418" s="35"/>
      <c r="Q418" s="36"/>
      <c r="R418" s="10">
        <f>LEN(M418)</f>
        <v>5</v>
      </c>
      <c r="S418" s="10">
        <f>MOD(R418,2)*4+FLOOR(R418/2,1)*6</f>
        <v>16</v>
      </c>
      <c r="T418" s="12">
        <f>S418+S419</f>
        <v>34</v>
      </c>
    </row>
    <row r="419" spans="1:20" ht="20" customHeight="1">
      <c r="A419" s="22"/>
      <c r="B419" s="6" t="str">
        <f>IF(H419&lt;=12,"有效","无效")</f>
        <v>有效</v>
      </c>
      <c r="C419" s="34" t="s">
        <v>976</v>
      </c>
      <c r="D419" s="35"/>
      <c r="E419" s="35"/>
      <c r="F419" s="35"/>
      <c r="G419" s="36"/>
      <c r="H419" s="4">
        <f>LEN(C419)</f>
        <v>8</v>
      </c>
      <c r="I419" s="11">
        <f>MOD(H419,2)*4+FLOOR(H419/2,1)*6</f>
        <v>24</v>
      </c>
      <c r="J419" s="12" t="str">
        <f>IF(J418&lt;I417,"有效","无效")</f>
        <v>有效</v>
      </c>
      <c r="K419" s="20"/>
      <c r="L419" s="6" t="str">
        <f>IF(R419&lt;=12,"有效","无效")</f>
        <v>有效</v>
      </c>
      <c r="M419" s="34" t="s">
        <v>980</v>
      </c>
      <c r="N419" s="35"/>
      <c r="O419" s="35"/>
      <c r="P419" s="35"/>
      <c r="Q419" s="36"/>
      <c r="R419" s="10">
        <f>LEN(M419)</f>
        <v>6</v>
      </c>
      <c r="S419" s="10">
        <f>MOD(R419,2)*4+FLOOR(R419/2,1)*6</f>
        <v>18</v>
      </c>
      <c r="T419" s="12" t="str">
        <f>IF(T418&lt;I417,"有效","无效")</f>
        <v>有效</v>
      </c>
    </row>
    <row r="420" spans="1:20" ht="20" customHeight="1">
      <c r="A420" s="22"/>
      <c r="B420" s="6" t="str">
        <f>IF(H420&lt;=12,"有效","无效")</f>
        <v>有效</v>
      </c>
      <c r="C420" s="34" t="s">
        <v>977</v>
      </c>
      <c r="D420" s="35"/>
      <c r="E420" s="35"/>
      <c r="F420" s="35"/>
      <c r="G420" s="36"/>
      <c r="H420" s="4">
        <f>LEN(C420)</f>
        <v>3</v>
      </c>
      <c r="I420" s="11">
        <f>MOD(H420,2)*4+FLOOR(H420/2,1)*6</f>
        <v>10</v>
      </c>
      <c r="J420" s="12">
        <f>I420+I421</f>
        <v>34</v>
      </c>
      <c r="K420" s="20"/>
      <c r="L420" s="6" t="str">
        <f>IF(R420&lt;=12,"有效","无效")</f>
        <v>有效</v>
      </c>
      <c r="M420" s="34" t="s">
        <v>981</v>
      </c>
      <c r="N420" s="35"/>
      <c r="O420" s="35"/>
      <c r="P420" s="35"/>
      <c r="Q420" s="36"/>
      <c r="R420" s="10">
        <f>LEN(M420)</f>
        <v>10</v>
      </c>
      <c r="S420" s="10">
        <f>MOD(R420,2)*4+FLOOR(R420/2,1)*6</f>
        <v>30</v>
      </c>
      <c r="T420" s="12">
        <f>S420+S421</f>
        <v>54</v>
      </c>
    </row>
    <row r="421" spans="1:20" ht="20" customHeight="1">
      <c r="A421" s="22"/>
      <c r="B421" s="6" t="str">
        <f>IF(H421&lt;=12,"有效","无效")</f>
        <v>有效</v>
      </c>
      <c r="C421" s="34" t="s">
        <v>978</v>
      </c>
      <c r="D421" s="35"/>
      <c r="E421" s="35"/>
      <c r="F421" s="35"/>
      <c r="G421" s="36"/>
      <c r="H421" s="4">
        <f>LEN(C421)</f>
        <v>8</v>
      </c>
      <c r="I421" s="11">
        <f>MOD(H421,2)*4+FLOOR(H421/2,1)*6</f>
        <v>24</v>
      </c>
      <c r="J421" s="12" t="str">
        <f>IF(J420&lt;I417,"有效","无效")</f>
        <v>有效</v>
      </c>
      <c r="K421" s="20"/>
      <c r="L421" s="6" t="str">
        <f>IF(R421&lt;=12,"有效","无效")</f>
        <v>有效</v>
      </c>
      <c r="M421" s="34" t="s">
        <v>982</v>
      </c>
      <c r="N421" s="35"/>
      <c r="O421" s="35"/>
      <c r="P421" s="35"/>
      <c r="Q421" s="36"/>
      <c r="R421" s="10">
        <f>LEN(M421)</f>
        <v>8</v>
      </c>
      <c r="S421" s="10">
        <f>MOD(R421,2)*4+FLOOR(R421/2,1)*6</f>
        <v>24</v>
      </c>
      <c r="T421" s="12" t="str">
        <f>IF(T420&lt;I417,"有效","无效")</f>
        <v>有效</v>
      </c>
    </row>
    <row r="422" spans="1:20" ht="20" customHeight="1">
      <c r="A422" s="22">
        <v>85</v>
      </c>
      <c r="B422" s="23" t="s">
        <v>131</v>
      </c>
      <c r="C422" s="24" t="s">
        <v>132</v>
      </c>
      <c r="D422" s="14">
        <f>LEN($B422)</f>
        <v>3</v>
      </c>
      <c r="E422" s="14">
        <f>LEN(C422)+3</f>
        <v>6</v>
      </c>
      <c r="F422" s="14">
        <f>MOD(D422,2)*4+FLOOR(D422/2,1)*6</f>
        <v>10</v>
      </c>
      <c r="G422" s="14">
        <f>MOD(E422,2)*4+FLOOR(E422/2,1)*6</f>
        <v>18</v>
      </c>
      <c r="H422" s="14">
        <v>12</v>
      </c>
      <c r="I422" s="14">
        <f>108-H422-G422-F422</f>
        <v>68</v>
      </c>
    </row>
    <row r="423" spans="1:20" ht="20" customHeight="1">
      <c r="A423" s="22"/>
      <c r="B423" s="6" t="str">
        <f>IF(H423&lt;=12,"有效","无效")</f>
        <v>有效</v>
      </c>
      <c r="C423" s="34" t="s">
        <v>983</v>
      </c>
      <c r="D423" s="35"/>
      <c r="E423" s="35"/>
      <c r="F423" s="35"/>
      <c r="G423" s="36"/>
      <c r="H423" s="4">
        <f>LEN(C423)</f>
        <v>7</v>
      </c>
      <c r="I423" s="11">
        <f>MOD(H423,2)*4+FLOOR(H423/2,1)*6</f>
        <v>22</v>
      </c>
      <c r="J423" s="12">
        <f>I423+I424</f>
        <v>52</v>
      </c>
      <c r="K423" s="20"/>
      <c r="L423" s="13" t="str">
        <f>IF(R423&lt;=12,"有效","无效")</f>
        <v>有效</v>
      </c>
      <c r="M423" s="35" t="s">
        <v>987</v>
      </c>
      <c r="N423" s="35"/>
      <c r="O423" s="35"/>
      <c r="P423" s="35"/>
      <c r="Q423" s="36"/>
      <c r="R423" s="10">
        <f>LEN(M423)</f>
        <v>9</v>
      </c>
      <c r="S423" s="10">
        <f>MOD(R423,2)*4+FLOOR(R423/2,1)*6</f>
        <v>28</v>
      </c>
      <c r="T423" s="12">
        <f>S423+S424</f>
        <v>44</v>
      </c>
    </row>
    <row r="424" spans="1:20" ht="20" customHeight="1">
      <c r="A424" s="22"/>
      <c r="B424" s="6" t="str">
        <f>IF(H424&lt;=12,"有效","无效")</f>
        <v>有效</v>
      </c>
      <c r="C424" s="34" t="s">
        <v>984</v>
      </c>
      <c r="D424" s="35"/>
      <c r="E424" s="35"/>
      <c r="F424" s="35"/>
      <c r="G424" s="36"/>
      <c r="H424" s="4">
        <f>LEN(C424)</f>
        <v>10</v>
      </c>
      <c r="I424" s="11">
        <f>MOD(H424,2)*4+FLOOR(H424/2,1)*6</f>
        <v>30</v>
      </c>
      <c r="J424" s="12" t="str">
        <f>IF(J423&lt;I422,"有效","无效")</f>
        <v>有效</v>
      </c>
      <c r="K424" s="20"/>
      <c r="L424" s="6" t="str">
        <f>IF(R424&lt;=12,"有效","无效")</f>
        <v>有效</v>
      </c>
      <c r="M424" s="34" t="s">
        <v>988</v>
      </c>
      <c r="N424" s="35"/>
      <c r="O424" s="35"/>
      <c r="P424" s="35"/>
      <c r="Q424" s="36"/>
      <c r="R424" s="10">
        <f>LEN(M424)</f>
        <v>5</v>
      </c>
      <c r="S424" s="10">
        <f>MOD(R424,2)*4+FLOOR(R424/2,1)*6</f>
        <v>16</v>
      </c>
      <c r="T424" s="12" t="str">
        <f>IF(T423&lt;I422,"有效","无效")</f>
        <v>有效</v>
      </c>
    </row>
    <row r="425" spans="1:20" ht="20" customHeight="1">
      <c r="A425" s="22"/>
      <c r="B425" s="6" t="str">
        <f>IF(H425&lt;=12,"有效","无效")</f>
        <v>有效</v>
      </c>
      <c r="C425" s="34" t="s">
        <v>985</v>
      </c>
      <c r="D425" s="35"/>
      <c r="E425" s="35"/>
      <c r="F425" s="35"/>
      <c r="G425" s="36"/>
      <c r="H425" s="4">
        <f>LEN(C425)</f>
        <v>9</v>
      </c>
      <c r="I425" s="11">
        <f>MOD(H425,2)*4+FLOOR(H425/2,1)*6</f>
        <v>28</v>
      </c>
      <c r="J425" s="12">
        <f>I425+I426</f>
        <v>46</v>
      </c>
      <c r="K425" s="20"/>
      <c r="L425" s="6" t="str">
        <f>IF(R425&lt;=12,"有效","无效")</f>
        <v>有效</v>
      </c>
      <c r="M425" s="34" t="s">
        <v>989</v>
      </c>
      <c r="N425" s="35"/>
      <c r="O425" s="35"/>
      <c r="P425" s="35"/>
      <c r="Q425" s="36"/>
      <c r="R425" s="10">
        <f>LEN(M425)</f>
        <v>11</v>
      </c>
      <c r="S425" s="10">
        <f>MOD(R425,2)*4+FLOOR(R425/2,1)*6</f>
        <v>34</v>
      </c>
      <c r="T425" s="12">
        <f>S425+S426</f>
        <v>52</v>
      </c>
    </row>
    <row r="426" spans="1:20" ht="20" customHeight="1">
      <c r="A426" s="22"/>
      <c r="B426" s="6" t="str">
        <f>IF(H426&lt;=12,"有效","无效")</f>
        <v>有效</v>
      </c>
      <c r="C426" s="34" t="s">
        <v>986</v>
      </c>
      <c r="D426" s="35"/>
      <c r="E426" s="35"/>
      <c r="F426" s="35"/>
      <c r="G426" s="36"/>
      <c r="H426" s="4">
        <f>LEN(C426)</f>
        <v>6</v>
      </c>
      <c r="I426" s="11">
        <f>MOD(H426,2)*4+FLOOR(H426/2,1)*6</f>
        <v>18</v>
      </c>
      <c r="J426" s="12" t="str">
        <f>IF(J425&lt;I422,"有效","无效")</f>
        <v>有效</v>
      </c>
      <c r="K426" s="20"/>
      <c r="L426" s="6" t="str">
        <f>IF(R426&lt;=12,"有效","无效")</f>
        <v>有效</v>
      </c>
      <c r="M426" s="34" t="s">
        <v>990</v>
      </c>
      <c r="N426" s="35"/>
      <c r="O426" s="35"/>
      <c r="P426" s="35"/>
      <c r="Q426" s="36"/>
      <c r="R426" s="10">
        <f>LEN(M426)</f>
        <v>6</v>
      </c>
      <c r="S426" s="10">
        <f>MOD(R426,2)*4+FLOOR(R426/2,1)*6</f>
        <v>18</v>
      </c>
      <c r="T426" s="12" t="str">
        <f>IF(T425&lt;I422,"有效","无效")</f>
        <v>有效</v>
      </c>
    </row>
    <row r="427" spans="1:20" ht="20" customHeight="1">
      <c r="A427" s="22">
        <v>86</v>
      </c>
      <c r="B427" s="23" t="s">
        <v>133</v>
      </c>
      <c r="C427" s="24" t="s">
        <v>134</v>
      </c>
      <c r="D427" s="14">
        <f>LEN($B427)</f>
        <v>3</v>
      </c>
      <c r="E427" s="14">
        <f>LEN(C427)+3</f>
        <v>5</v>
      </c>
      <c r="F427" s="14">
        <f>MOD(D427,2)*4+FLOOR(D427/2,1)*6</f>
        <v>10</v>
      </c>
      <c r="G427" s="14">
        <f>MOD(E427,2)*4+FLOOR(E427/2,1)*6</f>
        <v>16</v>
      </c>
      <c r="H427" s="14">
        <v>12</v>
      </c>
      <c r="I427" s="14">
        <f>108-H427-G427-F427</f>
        <v>70</v>
      </c>
      <c r="J427" s="30"/>
    </row>
    <row r="428" spans="1:20" ht="20" customHeight="1">
      <c r="A428" s="22"/>
      <c r="B428" s="6" t="str">
        <f>IF(H428&lt;=12,"有效","无效")</f>
        <v>有效</v>
      </c>
      <c r="C428" s="34" t="s">
        <v>2116</v>
      </c>
      <c r="D428" s="35"/>
      <c r="E428" s="35"/>
      <c r="F428" s="35"/>
      <c r="G428" s="36"/>
      <c r="H428" s="4">
        <f>LEN(C428)</f>
        <v>12</v>
      </c>
      <c r="I428" s="11">
        <f>MOD(H428,2)*4+FLOOR(H428/2,1)*6</f>
        <v>36</v>
      </c>
      <c r="J428" s="12">
        <f>I428+I429</f>
        <v>66</v>
      </c>
      <c r="K428" s="20"/>
      <c r="L428" s="13" t="str">
        <f>IF(R428&lt;=12,"有效","无效")</f>
        <v>有效</v>
      </c>
      <c r="M428" s="35" t="s">
        <v>992</v>
      </c>
      <c r="N428" s="35"/>
      <c r="O428" s="35"/>
      <c r="P428" s="35"/>
      <c r="Q428" s="36"/>
      <c r="R428" s="10">
        <f>LEN(M428)</f>
        <v>6</v>
      </c>
      <c r="S428" s="10">
        <f>MOD(R428,2)*4+FLOOR(R428/2,1)*6</f>
        <v>18</v>
      </c>
      <c r="T428" s="12">
        <f>S428+S429</f>
        <v>42</v>
      </c>
    </row>
    <row r="429" spans="1:20" ht="20" customHeight="1">
      <c r="A429" s="22"/>
      <c r="B429" s="6" t="str">
        <f>IF(H429&lt;=12,"有效","无效")</f>
        <v>有效</v>
      </c>
      <c r="C429" s="34" t="s">
        <v>2117</v>
      </c>
      <c r="D429" s="35"/>
      <c r="E429" s="35"/>
      <c r="F429" s="35"/>
      <c r="G429" s="36"/>
      <c r="H429" s="4">
        <f>LEN(C429)</f>
        <v>10</v>
      </c>
      <c r="I429" s="11">
        <f>MOD(H429,2)*4+FLOOR(H429/2,1)*6</f>
        <v>30</v>
      </c>
      <c r="J429" s="12" t="str">
        <f>IF(J428&lt;I427,"有效","无效")</f>
        <v>有效</v>
      </c>
      <c r="K429" s="20"/>
      <c r="L429" s="6" t="str">
        <f>IF(R429&lt;=12,"有效","无效")</f>
        <v>有效</v>
      </c>
      <c r="M429" s="34" t="s">
        <v>993</v>
      </c>
      <c r="N429" s="35"/>
      <c r="O429" s="35"/>
      <c r="P429" s="35"/>
      <c r="Q429" s="36"/>
      <c r="R429" s="10">
        <f>LEN(M429)</f>
        <v>8</v>
      </c>
      <c r="S429" s="10">
        <f>MOD(R429,2)*4+FLOOR(R429/2,1)*6</f>
        <v>24</v>
      </c>
      <c r="T429" s="12" t="str">
        <f>IF(T428&lt;I427,"有效","无效")</f>
        <v>有效</v>
      </c>
    </row>
    <row r="430" spans="1:20" ht="20" customHeight="1">
      <c r="A430" s="22"/>
      <c r="B430" s="6" t="str">
        <f>IF(H430&lt;=12,"有效","无效")</f>
        <v>有效</v>
      </c>
      <c r="C430" s="34" t="s">
        <v>2115</v>
      </c>
      <c r="D430" s="35"/>
      <c r="E430" s="35"/>
      <c r="F430" s="35"/>
      <c r="G430" s="36"/>
      <c r="H430" s="4">
        <f>LEN(C430)</f>
        <v>6</v>
      </c>
      <c r="I430" s="11">
        <f>MOD(H430,2)*4+FLOOR(H430/2,1)*6</f>
        <v>18</v>
      </c>
      <c r="J430" s="12">
        <f>I430+I431</f>
        <v>42</v>
      </c>
      <c r="K430" s="20"/>
      <c r="L430" s="6" t="str">
        <f>IF(R430&lt;=12,"有效","无效")</f>
        <v>有效</v>
      </c>
      <c r="M430" s="34" t="s">
        <v>994</v>
      </c>
      <c r="N430" s="35"/>
      <c r="O430" s="35"/>
      <c r="P430" s="35"/>
      <c r="Q430" s="36"/>
      <c r="R430" s="10">
        <f>LEN(M430)</f>
        <v>5</v>
      </c>
      <c r="S430" s="10">
        <f>MOD(R430,2)*4+FLOOR(R430/2,1)*6</f>
        <v>16</v>
      </c>
      <c r="T430" s="12">
        <f>S430+S431</f>
        <v>34</v>
      </c>
    </row>
    <row r="431" spans="1:20" ht="20" customHeight="1">
      <c r="A431" s="22"/>
      <c r="B431" s="6" t="str">
        <f>IF(H431&lt;=12,"有效","无效")</f>
        <v>有效</v>
      </c>
      <c r="C431" s="34" t="s">
        <v>991</v>
      </c>
      <c r="D431" s="35"/>
      <c r="E431" s="35"/>
      <c r="F431" s="35"/>
      <c r="G431" s="36"/>
      <c r="H431" s="4">
        <f>LEN(C431)</f>
        <v>8</v>
      </c>
      <c r="I431" s="11">
        <f>MOD(H431,2)*4+FLOOR(H431/2,1)*6</f>
        <v>24</v>
      </c>
      <c r="J431" s="12" t="str">
        <f>IF(J430&lt;I427,"有效","无效")</f>
        <v>有效</v>
      </c>
      <c r="K431" s="20"/>
      <c r="L431" s="6" t="str">
        <f>IF(R431&lt;=12,"有效","无效")</f>
        <v>有效</v>
      </c>
      <c r="M431" s="34" t="s">
        <v>995</v>
      </c>
      <c r="N431" s="35"/>
      <c r="O431" s="35"/>
      <c r="P431" s="35"/>
      <c r="Q431" s="36"/>
      <c r="R431" s="10">
        <f>LEN(M431)</f>
        <v>6</v>
      </c>
      <c r="S431" s="10">
        <f>MOD(R431,2)*4+FLOOR(R431/2,1)*6</f>
        <v>18</v>
      </c>
      <c r="T431" s="12" t="str">
        <f>IF(T430&lt;I427,"有效","无效")</f>
        <v>有效</v>
      </c>
    </row>
    <row r="432" spans="1:20" ht="20" customHeight="1">
      <c r="A432" s="22">
        <v>87</v>
      </c>
      <c r="B432" s="23" t="s">
        <v>135</v>
      </c>
      <c r="C432" s="24" t="s">
        <v>134</v>
      </c>
      <c r="D432" s="14">
        <f>LEN($B432)</f>
        <v>3</v>
      </c>
      <c r="E432" s="14">
        <f>LEN(C432)+3</f>
        <v>5</v>
      </c>
      <c r="F432" s="14">
        <f>MOD(D432,2)*4+FLOOR(D432/2,1)*6</f>
        <v>10</v>
      </c>
      <c r="G432" s="14">
        <f>MOD(E432,2)*4+FLOOR(E432/2,1)*6</f>
        <v>16</v>
      </c>
      <c r="H432" s="14">
        <v>12</v>
      </c>
      <c r="I432" s="14">
        <f>108-H432-G432-F432</f>
        <v>70</v>
      </c>
    </row>
    <row r="433" spans="1:20" ht="20" customHeight="1">
      <c r="A433" s="22"/>
      <c r="B433" s="6" t="str">
        <f>IF(H433&lt;=12,"有效","无效")</f>
        <v>有效</v>
      </c>
      <c r="C433" s="31" t="s">
        <v>996</v>
      </c>
      <c r="D433" s="32"/>
      <c r="E433" s="32"/>
      <c r="F433" s="32"/>
      <c r="G433" s="33"/>
      <c r="H433" s="4">
        <f>LEN(C433)</f>
        <v>7</v>
      </c>
      <c r="I433" s="11">
        <f>MOD(H433,2)*4+FLOOR(H433/2,1)*6</f>
        <v>22</v>
      </c>
      <c r="J433" s="12">
        <f>I433+I434</f>
        <v>40</v>
      </c>
      <c r="K433" s="20"/>
      <c r="L433" s="13" t="str">
        <f>IF(R433&lt;=12,"有效","无效")</f>
        <v>有效</v>
      </c>
      <c r="M433" s="35" t="s">
        <v>1000</v>
      </c>
      <c r="N433" s="35"/>
      <c r="O433" s="35"/>
      <c r="P433" s="35"/>
      <c r="Q433" s="36"/>
      <c r="R433" s="10">
        <f>LEN(M433)</f>
        <v>4</v>
      </c>
      <c r="S433" s="10">
        <f>MOD(R433,2)*4+FLOOR(R433/2,1)*6</f>
        <v>12</v>
      </c>
      <c r="T433" s="12">
        <f>S433+S434</f>
        <v>40</v>
      </c>
    </row>
    <row r="434" spans="1:20" ht="20" customHeight="1">
      <c r="A434" s="22"/>
      <c r="B434" s="6" t="str">
        <f>IF(H434&lt;=12,"有效","无效")</f>
        <v>有效</v>
      </c>
      <c r="C434" s="31" t="s">
        <v>997</v>
      </c>
      <c r="D434" s="32"/>
      <c r="E434" s="32"/>
      <c r="F434" s="32"/>
      <c r="G434" s="33"/>
      <c r="H434" s="4">
        <f>LEN(C434)</f>
        <v>6</v>
      </c>
      <c r="I434" s="11">
        <f>MOD(H434,2)*4+FLOOR(H434/2,1)*6</f>
        <v>18</v>
      </c>
      <c r="J434" s="12" t="str">
        <f>IF(J433&lt;I432,"有效","无效")</f>
        <v>有效</v>
      </c>
      <c r="K434" s="20"/>
      <c r="L434" s="6" t="str">
        <f>IF(R434&lt;=12,"有效","无效")</f>
        <v>有效</v>
      </c>
      <c r="M434" s="34" t="s">
        <v>1001</v>
      </c>
      <c r="N434" s="35"/>
      <c r="O434" s="35"/>
      <c r="P434" s="35"/>
      <c r="Q434" s="36"/>
      <c r="R434" s="10">
        <f>LEN(M434)</f>
        <v>9</v>
      </c>
      <c r="S434" s="10">
        <f>MOD(R434,2)*4+FLOOR(R434/2,1)*6</f>
        <v>28</v>
      </c>
      <c r="T434" s="12" t="str">
        <f>IF(T433&lt;I432,"有效","无效")</f>
        <v>有效</v>
      </c>
    </row>
    <row r="435" spans="1:20" ht="20" customHeight="1">
      <c r="A435" s="22"/>
      <c r="B435" s="6" t="str">
        <f>IF(H435&lt;=12,"有效","无效")</f>
        <v>有效</v>
      </c>
      <c r="C435" s="31" t="s">
        <v>998</v>
      </c>
      <c r="D435" s="32"/>
      <c r="E435" s="32"/>
      <c r="F435" s="32"/>
      <c r="G435" s="33"/>
      <c r="H435" s="4">
        <f>LEN(C435)</f>
        <v>4</v>
      </c>
      <c r="I435" s="11">
        <f>MOD(H435,2)*4+FLOOR(H435/2,1)*6</f>
        <v>12</v>
      </c>
      <c r="J435" s="12">
        <f>I435+I436</f>
        <v>28</v>
      </c>
      <c r="K435" s="20"/>
      <c r="L435" s="6" t="str">
        <f>IF(R435&lt;=12,"有效","无效")</f>
        <v>有效</v>
      </c>
      <c r="M435" s="34" t="s">
        <v>1002</v>
      </c>
      <c r="N435" s="35"/>
      <c r="O435" s="35"/>
      <c r="P435" s="35"/>
      <c r="Q435" s="36"/>
      <c r="R435" s="10">
        <f>LEN(M435)</f>
        <v>3</v>
      </c>
      <c r="S435" s="10">
        <f>MOD(R435,2)*4+FLOOR(R435/2,1)*6</f>
        <v>10</v>
      </c>
      <c r="T435" s="12">
        <f>S435+S436</f>
        <v>46</v>
      </c>
    </row>
    <row r="436" spans="1:20" ht="20" customHeight="1">
      <c r="A436" s="22"/>
      <c r="B436" s="6" t="str">
        <f>IF(H436&lt;=12,"有效","无效")</f>
        <v>有效</v>
      </c>
      <c r="C436" s="31" t="s">
        <v>999</v>
      </c>
      <c r="D436" s="32"/>
      <c r="E436" s="32"/>
      <c r="F436" s="32"/>
      <c r="G436" s="33"/>
      <c r="H436" s="4">
        <f>LEN(C436)</f>
        <v>5</v>
      </c>
      <c r="I436" s="11">
        <f>MOD(H436,2)*4+FLOOR(H436/2,1)*6</f>
        <v>16</v>
      </c>
      <c r="J436" s="12" t="str">
        <f>IF(J435&lt;I432,"有效","无效")</f>
        <v>有效</v>
      </c>
      <c r="K436" s="20"/>
      <c r="L436" s="6" t="str">
        <f>IF(R436&lt;=12,"有效","无效")</f>
        <v>有效</v>
      </c>
      <c r="M436" s="34" t="s">
        <v>1003</v>
      </c>
      <c r="N436" s="35"/>
      <c r="O436" s="35"/>
      <c r="P436" s="35"/>
      <c r="Q436" s="36"/>
      <c r="R436" s="10">
        <f>LEN(M436)</f>
        <v>12</v>
      </c>
      <c r="S436" s="10">
        <f>MOD(R436,2)*4+FLOOR(R436/2,1)*6</f>
        <v>36</v>
      </c>
      <c r="T436" s="12" t="str">
        <f>IF(T435&lt;I432,"有效","无效")</f>
        <v>有效</v>
      </c>
    </row>
    <row r="437" spans="1:20" ht="20" customHeight="1">
      <c r="A437" s="22">
        <v>88</v>
      </c>
      <c r="B437" s="23" t="s">
        <v>136</v>
      </c>
      <c r="C437" s="24" t="s">
        <v>137</v>
      </c>
      <c r="D437" s="14">
        <f>LEN($B437)</f>
        <v>2</v>
      </c>
      <c r="E437" s="14">
        <f>LEN(C437)+3</f>
        <v>5</v>
      </c>
      <c r="F437" s="14">
        <f>MOD(D437,2)*4+FLOOR(D437/2,1)*6</f>
        <v>6</v>
      </c>
      <c r="G437" s="14">
        <f>MOD(E437,2)*4+FLOOR(E437/2,1)*6</f>
        <v>16</v>
      </c>
      <c r="H437" s="14">
        <v>12</v>
      </c>
      <c r="I437" s="14">
        <f>108-H437-G437-F437</f>
        <v>74</v>
      </c>
    </row>
    <row r="438" spans="1:20" ht="20" customHeight="1">
      <c r="A438" s="22"/>
      <c r="B438" s="6" t="str">
        <f>IF(H438&lt;=12,"有效","无效")</f>
        <v>有效</v>
      </c>
      <c r="C438" s="34" t="s">
        <v>1006</v>
      </c>
      <c r="D438" s="35"/>
      <c r="E438" s="35"/>
      <c r="F438" s="35"/>
      <c r="G438" s="36"/>
      <c r="H438" s="4">
        <f>LEN(C438)</f>
        <v>8</v>
      </c>
      <c r="I438" s="11">
        <f>MOD(H438,2)*4+FLOOR(H438/2,1)*6</f>
        <v>24</v>
      </c>
      <c r="J438" s="12">
        <f>I438+I439</f>
        <v>52</v>
      </c>
      <c r="K438" s="20"/>
      <c r="L438" s="13" t="str">
        <f>IF(R438&lt;=12,"有效","无效")</f>
        <v>有效</v>
      </c>
      <c r="M438" s="35" t="s">
        <v>1007</v>
      </c>
      <c r="N438" s="35"/>
      <c r="O438" s="35"/>
      <c r="P438" s="35"/>
      <c r="Q438" s="36"/>
      <c r="R438" s="10">
        <f>LEN(M438)</f>
        <v>9</v>
      </c>
      <c r="S438" s="10">
        <f>MOD(R438,2)*4+FLOOR(R438/2,1)*6</f>
        <v>28</v>
      </c>
      <c r="T438" s="12">
        <f>S438+S439</f>
        <v>46</v>
      </c>
    </row>
    <row r="439" spans="1:20" ht="20" customHeight="1">
      <c r="A439" s="22"/>
      <c r="B439" s="6" t="str">
        <f>IF(H439&lt;=12,"有效","无效")</f>
        <v>有效</v>
      </c>
      <c r="C439" s="34" t="s">
        <v>1005</v>
      </c>
      <c r="D439" s="35"/>
      <c r="E439" s="35"/>
      <c r="F439" s="35"/>
      <c r="G439" s="36"/>
      <c r="H439" s="4">
        <f>LEN(C439)</f>
        <v>9</v>
      </c>
      <c r="I439" s="11">
        <f>MOD(H439,2)*4+FLOOR(H439/2,1)*6</f>
        <v>28</v>
      </c>
      <c r="J439" s="12" t="str">
        <f>IF(J438&lt;I437,"有效","无效")</f>
        <v>有效</v>
      </c>
      <c r="K439" s="20"/>
      <c r="L439" s="6" t="str">
        <f>IF(R439&lt;=12,"有效","无效")</f>
        <v>有效</v>
      </c>
      <c r="M439" s="34" t="s">
        <v>1008</v>
      </c>
      <c r="N439" s="35"/>
      <c r="O439" s="35"/>
      <c r="P439" s="35"/>
      <c r="Q439" s="36"/>
      <c r="R439" s="10">
        <f>LEN(M439)</f>
        <v>6</v>
      </c>
      <c r="S439" s="10">
        <f>MOD(R439,2)*4+FLOOR(R439/2,1)*6</f>
        <v>18</v>
      </c>
      <c r="T439" s="12" t="str">
        <f>IF(T438&lt;I437,"有效","无效")</f>
        <v>有效</v>
      </c>
    </row>
    <row r="440" spans="1:20" ht="20" customHeight="1">
      <c r="A440" s="22"/>
      <c r="B440" s="6" t="str">
        <f>IF(H440&lt;=12,"有效","无效")</f>
        <v>有效</v>
      </c>
      <c r="C440" s="34" t="s">
        <v>1004</v>
      </c>
      <c r="D440" s="35"/>
      <c r="E440" s="35"/>
      <c r="F440" s="35"/>
      <c r="G440" s="36"/>
      <c r="H440" s="4">
        <f>LEN(C440)</f>
        <v>8</v>
      </c>
      <c r="I440" s="11">
        <f>MOD(H440,2)*4+FLOOR(H440/2,1)*6</f>
        <v>24</v>
      </c>
      <c r="J440" s="12">
        <f>I440+I441</f>
        <v>42</v>
      </c>
      <c r="K440" s="20"/>
      <c r="L440" s="6" t="str">
        <f>IF(R440&lt;=12,"有效","无效")</f>
        <v>有效</v>
      </c>
      <c r="M440" s="34" t="s">
        <v>1009</v>
      </c>
      <c r="N440" s="35"/>
      <c r="O440" s="35"/>
      <c r="P440" s="35"/>
      <c r="Q440" s="36"/>
      <c r="R440" s="10">
        <f>LEN(M440)</f>
        <v>7</v>
      </c>
      <c r="S440" s="10">
        <f>MOD(R440,2)*4+FLOOR(R440/2,1)*6</f>
        <v>22</v>
      </c>
      <c r="T440" s="12">
        <f>S440+S441</f>
        <v>40</v>
      </c>
    </row>
    <row r="441" spans="1:20" ht="20" customHeight="1">
      <c r="A441" s="22"/>
      <c r="B441" s="6" t="str">
        <f>IF(H441&lt;=12,"有效","无效")</f>
        <v>有效</v>
      </c>
      <c r="C441" s="34" t="s">
        <v>1014</v>
      </c>
      <c r="D441" s="35"/>
      <c r="E441" s="35"/>
      <c r="F441" s="35"/>
      <c r="G441" s="36"/>
      <c r="H441" s="4">
        <f>LEN(C441)</f>
        <v>6</v>
      </c>
      <c r="I441" s="11">
        <f>MOD(H441,2)*4+FLOOR(H441/2,1)*6</f>
        <v>18</v>
      </c>
      <c r="J441" s="12" t="str">
        <f>IF(J440&lt;I437,"有效","无效")</f>
        <v>有效</v>
      </c>
      <c r="K441" s="20"/>
      <c r="L441" s="6" t="str">
        <f>IF(R441&lt;=12,"有效","无效")</f>
        <v>有效</v>
      </c>
      <c r="M441" s="34" t="s">
        <v>1010</v>
      </c>
      <c r="N441" s="35"/>
      <c r="O441" s="35"/>
      <c r="P441" s="35"/>
      <c r="Q441" s="36"/>
      <c r="R441" s="10">
        <f>LEN(M441)</f>
        <v>6</v>
      </c>
      <c r="S441" s="10">
        <f>MOD(R441,2)*4+FLOOR(R441/2,1)*6</f>
        <v>18</v>
      </c>
      <c r="T441" s="12" t="str">
        <f>IF(T440&lt;I437,"有效","无效")</f>
        <v>有效</v>
      </c>
    </row>
    <row r="442" spans="1:20" ht="20" customHeight="1">
      <c r="A442" s="22">
        <v>89</v>
      </c>
      <c r="B442" s="23" t="s">
        <v>138</v>
      </c>
      <c r="C442" s="24" t="s">
        <v>137</v>
      </c>
      <c r="D442" s="14">
        <f>LEN($B442)</f>
        <v>3</v>
      </c>
      <c r="E442" s="14">
        <f>LEN(C442)+3</f>
        <v>5</v>
      </c>
      <c r="F442" s="14">
        <f>MOD(D442,2)*4+FLOOR(D442/2,1)*6</f>
        <v>10</v>
      </c>
      <c r="G442" s="14">
        <f>MOD(E442,2)*4+FLOOR(E442/2,1)*6</f>
        <v>16</v>
      </c>
      <c r="H442" s="14">
        <v>12</v>
      </c>
      <c r="I442" s="14">
        <f>108-H442-G442-F442</f>
        <v>70</v>
      </c>
    </row>
    <row r="443" spans="1:20" ht="20" customHeight="1">
      <c r="A443" s="22"/>
      <c r="B443" s="6" t="str">
        <f>IF(H443&lt;=12,"有效","无效")</f>
        <v>有效</v>
      </c>
      <c r="C443" s="31" t="s">
        <v>1011</v>
      </c>
      <c r="D443" s="32"/>
      <c r="E443" s="32"/>
      <c r="F443" s="32"/>
      <c r="G443" s="33"/>
      <c r="H443" s="4">
        <f>LEN(C443)</f>
        <v>5</v>
      </c>
      <c r="I443" s="11">
        <f>MOD(H443,2)*4+FLOOR(H443/2,1)*6</f>
        <v>16</v>
      </c>
      <c r="J443" s="12">
        <f>I443+I444</f>
        <v>46</v>
      </c>
      <c r="K443" s="20"/>
      <c r="L443" s="13" t="str">
        <f>IF(R443&lt;=12,"有效","无效")</f>
        <v>有效</v>
      </c>
      <c r="M443" s="35" t="s">
        <v>1015</v>
      </c>
      <c r="N443" s="35"/>
      <c r="O443" s="35"/>
      <c r="P443" s="35"/>
      <c r="Q443" s="36"/>
      <c r="R443" s="10">
        <f>LEN(M443)</f>
        <v>9</v>
      </c>
      <c r="S443" s="10">
        <f>MOD(R443,2)*4+FLOOR(R443/2,1)*6</f>
        <v>28</v>
      </c>
      <c r="T443" s="12">
        <f>S443+S444</f>
        <v>52</v>
      </c>
    </row>
    <row r="444" spans="1:20" ht="20" customHeight="1">
      <c r="A444" s="22"/>
      <c r="B444" s="6" t="str">
        <f>IF(H444&lt;=12,"有效","无效")</f>
        <v>有效</v>
      </c>
      <c r="C444" s="31" t="s">
        <v>1012</v>
      </c>
      <c r="D444" s="32"/>
      <c r="E444" s="32"/>
      <c r="F444" s="32"/>
      <c r="G444" s="33"/>
      <c r="H444" s="4">
        <f>LEN(C444)</f>
        <v>10</v>
      </c>
      <c r="I444" s="11">
        <f>MOD(H444,2)*4+FLOOR(H444/2,1)*6</f>
        <v>30</v>
      </c>
      <c r="J444" s="12" t="str">
        <f>IF(J443&lt;I442,"有效","无效")</f>
        <v>有效</v>
      </c>
      <c r="K444" s="20"/>
      <c r="L444" s="6" t="str">
        <f>IF(R444&lt;=12,"有效","无效")</f>
        <v>有效</v>
      </c>
      <c r="M444" s="34" t="s">
        <v>1018</v>
      </c>
      <c r="N444" s="35"/>
      <c r="O444" s="35"/>
      <c r="P444" s="35"/>
      <c r="Q444" s="36"/>
      <c r="R444" s="10">
        <f>LEN(M444)</f>
        <v>8</v>
      </c>
      <c r="S444" s="10">
        <f>MOD(R444,2)*4+FLOOR(R444/2,1)*6</f>
        <v>24</v>
      </c>
      <c r="T444" s="12" t="str">
        <f>IF(T443&lt;I442,"有效","无效")</f>
        <v>有效</v>
      </c>
    </row>
    <row r="445" spans="1:20" ht="20" customHeight="1">
      <c r="A445" s="22"/>
      <c r="B445" s="6" t="str">
        <f>IF(H445&lt;=12,"有效","无效")</f>
        <v>有效</v>
      </c>
      <c r="C445" s="31" t="s">
        <v>1013</v>
      </c>
      <c r="D445" s="32"/>
      <c r="E445" s="32"/>
      <c r="F445" s="32"/>
      <c r="G445" s="33"/>
      <c r="H445" s="4">
        <f>LEN(C445)</f>
        <v>5</v>
      </c>
      <c r="I445" s="11">
        <f>MOD(H445,2)*4+FLOOR(H445/2,1)*6</f>
        <v>16</v>
      </c>
      <c r="J445" s="12">
        <f>I445+I446</f>
        <v>34</v>
      </c>
      <c r="K445" s="20"/>
      <c r="L445" s="6" t="str">
        <f>IF(R445&lt;=12,"有效","无效")</f>
        <v>有效</v>
      </c>
      <c r="M445" s="34" t="s">
        <v>1016</v>
      </c>
      <c r="N445" s="35"/>
      <c r="O445" s="35"/>
      <c r="P445" s="35"/>
      <c r="Q445" s="36"/>
      <c r="R445" s="10">
        <f>LEN(M445)</f>
        <v>4</v>
      </c>
      <c r="S445" s="10">
        <f>MOD(R445,2)*4+FLOOR(R445/2,1)*6</f>
        <v>12</v>
      </c>
      <c r="T445" s="12">
        <f>S445+S446</f>
        <v>30</v>
      </c>
    </row>
    <row r="446" spans="1:20" ht="20" customHeight="1">
      <c r="A446" s="22"/>
      <c r="B446" s="6" t="str">
        <f>IF(H446&lt;=12,"有效","无效")</f>
        <v>有效</v>
      </c>
      <c r="C446" s="31" t="s">
        <v>1014</v>
      </c>
      <c r="D446" s="32"/>
      <c r="E446" s="32"/>
      <c r="F446" s="32"/>
      <c r="G446" s="33"/>
      <c r="H446" s="4">
        <f>LEN(C446)</f>
        <v>6</v>
      </c>
      <c r="I446" s="11">
        <f>MOD(H446,2)*4+FLOOR(H446/2,1)*6</f>
        <v>18</v>
      </c>
      <c r="J446" s="12" t="str">
        <f>IF(J445&lt;I442,"有效","无效")</f>
        <v>有效</v>
      </c>
      <c r="K446" s="20"/>
      <c r="L446" s="6" t="str">
        <f>IF(R446&lt;=12,"有效","无效")</f>
        <v>有效</v>
      </c>
      <c r="M446" s="34" t="s">
        <v>1017</v>
      </c>
      <c r="N446" s="35"/>
      <c r="O446" s="35"/>
      <c r="P446" s="35"/>
      <c r="Q446" s="36"/>
      <c r="R446" s="10">
        <f>LEN(M446)</f>
        <v>6</v>
      </c>
      <c r="S446" s="10">
        <f>MOD(R446,2)*4+FLOOR(R446/2,1)*6</f>
        <v>18</v>
      </c>
      <c r="T446" s="12" t="str">
        <f>IF(T445&lt;I442,"有效","无效")</f>
        <v>有效</v>
      </c>
    </row>
    <row r="447" spans="1:20" ht="20" customHeight="1">
      <c r="A447" s="22">
        <v>90</v>
      </c>
      <c r="B447" s="23" t="s">
        <v>139</v>
      </c>
      <c r="C447" s="24" t="s">
        <v>140</v>
      </c>
      <c r="D447" s="14">
        <f>LEN($B447)</f>
        <v>3</v>
      </c>
      <c r="E447" s="14">
        <f>LEN(C447)+3</f>
        <v>6</v>
      </c>
      <c r="F447" s="14">
        <f>MOD(D447,2)*4+FLOOR(D447/2,1)*6</f>
        <v>10</v>
      </c>
      <c r="G447" s="14">
        <f>MOD(E447,2)*4+FLOOR(E447/2,1)*6</f>
        <v>18</v>
      </c>
      <c r="H447" s="14">
        <v>12</v>
      </c>
      <c r="I447" s="14">
        <f>108-H447-G447-F447</f>
        <v>68</v>
      </c>
      <c r="J447" s="30"/>
    </row>
    <row r="448" spans="1:20" ht="20" customHeight="1">
      <c r="A448" s="22"/>
      <c r="B448" s="6" t="str">
        <f>IF(H448&lt;=12,"有效","无效")</f>
        <v>有效</v>
      </c>
      <c r="C448" s="31" t="s">
        <v>2118</v>
      </c>
      <c r="D448" s="32"/>
      <c r="E448" s="32"/>
      <c r="F448" s="32"/>
      <c r="G448" s="33"/>
      <c r="H448" s="4">
        <f>LEN(C448)</f>
        <v>7</v>
      </c>
      <c r="I448" s="11">
        <f>MOD(H448,2)*4+FLOOR(H448/2,1)*6</f>
        <v>22</v>
      </c>
      <c r="J448" s="12">
        <f>I448+I449</f>
        <v>56</v>
      </c>
      <c r="K448" s="20"/>
      <c r="L448" s="13" t="str">
        <f>IF(R448&lt;=12,"有效","无效")</f>
        <v>有效</v>
      </c>
      <c r="M448" s="35" t="s">
        <v>1019</v>
      </c>
      <c r="N448" s="35"/>
      <c r="O448" s="35"/>
      <c r="P448" s="35"/>
      <c r="Q448" s="36"/>
      <c r="R448" s="10">
        <f>LEN(M448)</f>
        <v>8</v>
      </c>
      <c r="S448" s="10">
        <f>MOD(R448,2)*4+FLOOR(R448/2,1)*6</f>
        <v>24</v>
      </c>
      <c r="T448" s="12">
        <f>S448+S449</f>
        <v>46</v>
      </c>
    </row>
    <row r="449" spans="1:20" ht="20" customHeight="1">
      <c r="A449" s="22"/>
      <c r="B449" s="6" t="str">
        <f>IF(H449&lt;=12,"有效","无效")</f>
        <v>有效</v>
      </c>
      <c r="C449" s="31" t="s">
        <v>2119</v>
      </c>
      <c r="D449" s="32"/>
      <c r="E449" s="32"/>
      <c r="F449" s="32"/>
      <c r="G449" s="33"/>
      <c r="H449" s="4">
        <f>LEN(C449)</f>
        <v>11</v>
      </c>
      <c r="I449" s="11">
        <f>MOD(H449,2)*4+FLOOR(H449/2,1)*6</f>
        <v>34</v>
      </c>
      <c r="J449" s="12" t="str">
        <f>IF(J448&lt;I447,"有效","无效")</f>
        <v>有效</v>
      </c>
      <c r="K449" s="20"/>
      <c r="L449" s="6" t="str">
        <f>IF(R449&lt;=12,"有效","无效")</f>
        <v>有效</v>
      </c>
      <c r="M449" s="34" t="s">
        <v>1020</v>
      </c>
      <c r="N449" s="35"/>
      <c r="O449" s="35"/>
      <c r="P449" s="35"/>
      <c r="Q449" s="36"/>
      <c r="R449" s="10">
        <f>LEN(M449)</f>
        <v>7</v>
      </c>
      <c r="S449" s="10">
        <f>MOD(R449,2)*4+FLOOR(R449/2,1)*6</f>
        <v>22</v>
      </c>
      <c r="T449" s="12" t="str">
        <f>IF(T448&lt;I447,"有效","无效")</f>
        <v>有效</v>
      </c>
    </row>
    <row r="450" spans="1:20" ht="20" customHeight="1">
      <c r="A450" s="22"/>
      <c r="B450" s="6" t="str">
        <f>IF(H450&lt;=12,"有效","无效")</f>
        <v>有效</v>
      </c>
      <c r="C450" s="31" t="s">
        <v>2121</v>
      </c>
      <c r="D450" s="32"/>
      <c r="E450" s="32"/>
      <c r="F450" s="32"/>
      <c r="G450" s="33"/>
      <c r="H450" s="4">
        <f>LEN(C450)</f>
        <v>5</v>
      </c>
      <c r="I450" s="11">
        <f>MOD(H450,2)*4+FLOOR(H450/2,1)*6</f>
        <v>16</v>
      </c>
      <c r="J450" s="12">
        <f>I450+I451</f>
        <v>28</v>
      </c>
      <c r="K450" s="20"/>
      <c r="L450" s="6" t="str">
        <f>IF(R450&lt;=12,"有效","无效")</f>
        <v>有效</v>
      </c>
      <c r="M450" s="34" t="s">
        <v>1021</v>
      </c>
      <c r="N450" s="35"/>
      <c r="O450" s="35"/>
      <c r="P450" s="35"/>
      <c r="Q450" s="36"/>
      <c r="R450" s="10">
        <f>LEN(M450)</f>
        <v>8</v>
      </c>
      <c r="S450" s="10">
        <f>MOD(R450,2)*4+FLOOR(R450/2,1)*6</f>
        <v>24</v>
      </c>
      <c r="T450" s="12">
        <f>S450+S451</f>
        <v>42</v>
      </c>
    </row>
    <row r="451" spans="1:20" ht="20" customHeight="1">
      <c r="A451" s="22"/>
      <c r="B451" s="6" t="str">
        <f>IF(H451&lt;=12,"有效","无效")</f>
        <v>有效</v>
      </c>
      <c r="C451" s="31" t="s">
        <v>2120</v>
      </c>
      <c r="D451" s="32"/>
      <c r="E451" s="32"/>
      <c r="F451" s="32"/>
      <c r="G451" s="33"/>
      <c r="H451" s="4">
        <f>LEN(C451)</f>
        <v>4</v>
      </c>
      <c r="I451" s="11">
        <f>MOD(H451,2)*4+FLOOR(H451/2,1)*6</f>
        <v>12</v>
      </c>
      <c r="J451" s="12" t="str">
        <f>IF(J450&lt;I447,"有效","无效")</f>
        <v>有效</v>
      </c>
      <c r="K451" s="20"/>
      <c r="L451" s="6" t="str">
        <f>IF(R451&lt;=12,"有效","无效")</f>
        <v>有效</v>
      </c>
      <c r="M451" s="34" t="s">
        <v>1022</v>
      </c>
      <c r="N451" s="35"/>
      <c r="O451" s="35"/>
      <c r="P451" s="35"/>
      <c r="Q451" s="36"/>
      <c r="R451" s="10">
        <f>LEN(M451)</f>
        <v>6</v>
      </c>
      <c r="S451" s="10">
        <f>MOD(R451,2)*4+FLOOR(R451/2,1)*6</f>
        <v>18</v>
      </c>
      <c r="T451" s="12" t="str">
        <f>IF(T450&lt;I447,"有效","无效")</f>
        <v>有效</v>
      </c>
    </row>
    <row r="452" spans="1:20" ht="20" customHeight="1">
      <c r="A452" s="22">
        <v>91</v>
      </c>
      <c r="B452" s="23" t="s">
        <v>141</v>
      </c>
      <c r="C452" s="24" t="s">
        <v>140</v>
      </c>
      <c r="D452" s="14">
        <f>LEN($B452)</f>
        <v>3</v>
      </c>
      <c r="E452" s="14">
        <f>LEN(C452)+3</f>
        <v>6</v>
      </c>
      <c r="F452" s="14">
        <f>MOD(D452,2)*4+FLOOR(D452/2,1)*6</f>
        <v>10</v>
      </c>
      <c r="G452" s="14">
        <f>MOD(E452,2)*4+FLOOR(E452/2,1)*6</f>
        <v>18</v>
      </c>
      <c r="H452" s="14">
        <v>12</v>
      </c>
      <c r="I452" s="14">
        <f>108-H452-G452-F452</f>
        <v>68</v>
      </c>
      <c r="J452" s="30"/>
    </row>
    <row r="453" spans="1:20" ht="20" customHeight="1">
      <c r="A453" s="22"/>
      <c r="B453" s="6" t="str">
        <f>IF(H453&lt;=12,"有效","无效")</f>
        <v>有效</v>
      </c>
      <c r="C453" s="31" t="s">
        <v>2123</v>
      </c>
      <c r="D453" s="32"/>
      <c r="E453" s="32"/>
      <c r="F453" s="32"/>
      <c r="G453" s="33"/>
      <c r="H453" s="4">
        <f>LEN(C453)</f>
        <v>3</v>
      </c>
      <c r="I453" s="11">
        <f>MOD(H453,2)*4+FLOOR(H453/2,1)*6</f>
        <v>10</v>
      </c>
      <c r="J453" s="12">
        <f>I453+I454</f>
        <v>26</v>
      </c>
      <c r="K453" s="20"/>
      <c r="L453" s="13" t="str">
        <f>IF(R453&lt;=12,"有效","无效")</f>
        <v>有效</v>
      </c>
      <c r="M453" s="32" t="s">
        <v>1024</v>
      </c>
      <c r="N453" s="32"/>
      <c r="O453" s="32"/>
      <c r="P453" s="32"/>
      <c r="Q453" s="33"/>
      <c r="R453" s="10">
        <f>LEN(M453)</f>
        <v>6</v>
      </c>
      <c r="S453" s="10">
        <f>MOD(R453,2)*4+FLOOR(R453/2,1)*6</f>
        <v>18</v>
      </c>
      <c r="T453" s="12">
        <f>S453+S454</f>
        <v>42</v>
      </c>
    </row>
    <row r="454" spans="1:20" ht="20" customHeight="1">
      <c r="A454" s="22"/>
      <c r="B454" s="6" t="str">
        <f>IF(H454&lt;=12,"有效","无效")</f>
        <v>有效</v>
      </c>
      <c r="C454" s="31" t="s">
        <v>2124</v>
      </c>
      <c r="D454" s="32"/>
      <c r="E454" s="32"/>
      <c r="F454" s="32"/>
      <c r="G454" s="33"/>
      <c r="H454" s="4">
        <f>LEN(C454)</f>
        <v>5</v>
      </c>
      <c r="I454" s="11">
        <f>MOD(H454,2)*4+FLOOR(H454/2,1)*6</f>
        <v>16</v>
      </c>
      <c r="J454" s="12" t="str">
        <f>IF(J453&lt;I452,"有效","无效")</f>
        <v>有效</v>
      </c>
      <c r="K454" s="20"/>
      <c r="L454" s="6" t="str">
        <f>IF(R454&lt;=12,"有效","无效")</f>
        <v>有效</v>
      </c>
      <c r="M454" s="31" t="s">
        <v>1025</v>
      </c>
      <c r="N454" s="32"/>
      <c r="O454" s="32"/>
      <c r="P454" s="32"/>
      <c r="Q454" s="33"/>
      <c r="R454" s="10">
        <f>LEN(M454)</f>
        <v>8</v>
      </c>
      <c r="S454" s="10">
        <f>MOD(R454,2)*4+FLOOR(R454/2,1)*6</f>
        <v>24</v>
      </c>
      <c r="T454" s="12" t="str">
        <f>IF(T453&lt;I452,"有效","无效")</f>
        <v>有效</v>
      </c>
    </row>
    <row r="455" spans="1:20" ht="20" customHeight="1">
      <c r="A455" s="22"/>
      <c r="B455" s="6" t="str">
        <f>IF(H455&lt;=12,"有效","无效")</f>
        <v>有效</v>
      </c>
      <c r="C455" s="31" t="s">
        <v>2122</v>
      </c>
      <c r="D455" s="32"/>
      <c r="E455" s="32"/>
      <c r="F455" s="32"/>
      <c r="G455" s="33"/>
      <c r="H455" s="4">
        <f>LEN(C455)</f>
        <v>12</v>
      </c>
      <c r="I455" s="11">
        <f>MOD(H455,2)*4+FLOOR(H455/2,1)*6</f>
        <v>36</v>
      </c>
      <c r="J455" s="12">
        <f>I455+I456</f>
        <v>60</v>
      </c>
      <c r="K455" s="20"/>
      <c r="L455" s="6" t="str">
        <f>IF(R455&lt;=12,"有效","无效")</f>
        <v>有效</v>
      </c>
      <c r="M455" s="31" t="s">
        <v>1026</v>
      </c>
      <c r="N455" s="32"/>
      <c r="O455" s="32"/>
      <c r="P455" s="32"/>
      <c r="Q455" s="33"/>
      <c r="R455" s="10">
        <f>LEN(M455)</f>
        <v>5</v>
      </c>
      <c r="S455" s="10">
        <f>MOD(R455,2)*4+FLOOR(R455/2,1)*6</f>
        <v>16</v>
      </c>
      <c r="T455" s="12">
        <f>S455+S456</f>
        <v>34</v>
      </c>
    </row>
    <row r="456" spans="1:20" ht="20" customHeight="1">
      <c r="A456" s="22"/>
      <c r="B456" s="6" t="str">
        <f>IF(H456&lt;=12,"有效","无效")</f>
        <v>有效</v>
      </c>
      <c r="C456" s="31" t="s">
        <v>1023</v>
      </c>
      <c r="D456" s="32"/>
      <c r="E456" s="32"/>
      <c r="F456" s="32"/>
      <c r="G456" s="33"/>
      <c r="H456" s="4">
        <f>LEN(C456)</f>
        <v>8</v>
      </c>
      <c r="I456" s="11">
        <f>MOD(H456,2)*4+FLOOR(H456/2,1)*6</f>
        <v>24</v>
      </c>
      <c r="J456" s="12" t="str">
        <f>IF(J455&lt;I452,"有效","无效")</f>
        <v>有效</v>
      </c>
      <c r="K456" s="20"/>
      <c r="L456" s="6" t="str">
        <f>IF(R456&lt;=12,"有效","无效")</f>
        <v>有效</v>
      </c>
      <c r="M456" s="31" t="s">
        <v>1027</v>
      </c>
      <c r="N456" s="32"/>
      <c r="O456" s="32"/>
      <c r="P456" s="32"/>
      <c r="Q456" s="33"/>
      <c r="R456" s="10">
        <f>LEN(M456)</f>
        <v>6</v>
      </c>
      <c r="S456" s="10">
        <f>MOD(R456,2)*4+FLOOR(R456/2,1)*6</f>
        <v>18</v>
      </c>
      <c r="T456" s="12" t="str">
        <f>IF(T455&lt;I452,"有效","无效")</f>
        <v>有效</v>
      </c>
    </row>
    <row r="457" spans="1:20" ht="20" customHeight="1">
      <c r="A457" s="22">
        <v>92</v>
      </c>
      <c r="B457" s="23" t="s">
        <v>142</v>
      </c>
      <c r="C457" s="24" t="s">
        <v>143</v>
      </c>
      <c r="D457" s="14">
        <f>LEN($B457)</f>
        <v>2</v>
      </c>
      <c r="E457" s="14">
        <f>LEN(C457)+3</f>
        <v>6</v>
      </c>
      <c r="F457" s="14">
        <f>MOD(D457,2)*4+FLOOR(D457/2,1)*6</f>
        <v>6</v>
      </c>
      <c r="G457" s="14">
        <f>MOD(E457,2)*4+FLOOR(E457/2,1)*6</f>
        <v>18</v>
      </c>
      <c r="H457" s="14">
        <v>12</v>
      </c>
      <c r="I457" s="14">
        <f>108-H457-G457-F457</f>
        <v>72</v>
      </c>
    </row>
    <row r="458" spans="1:20" ht="20" customHeight="1">
      <c r="A458" s="22"/>
      <c r="B458" s="6" t="str">
        <f>IF(H458&lt;=12,"有效","无效")</f>
        <v>有效</v>
      </c>
      <c r="C458" s="31" t="s">
        <v>1028</v>
      </c>
      <c r="D458" s="32"/>
      <c r="E458" s="32"/>
      <c r="F458" s="32"/>
      <c r="G458" s="33"/>
      <c r="H458" s="4">
        <f>LEN(C458)</f>
        <v>8</v>
      </c>
      <c r="I458" s="11">
        <f>MOD(H458,2)*4+FLOOR(H458/2,1)*6</f>
        <v>24</v>
      </c>
      <c r="J458" s="12">
        <f>I458+I459</f>
        <v>52</v>
      </c>
      <c r="K458" s="20"/>
      <c r="L458" s="13" t="str">
        <f>IF(R458&lt;=12,"有效","无效")</f>
        <v>有效</v>
      </c>
      <c r="M458" s="32" t="s">
        <v>1032</v>
      </c>
      <c r="N458" s="32"/>
      <c r="O458" s="32"/>
      <c r="P458" s="32"/>
      <c r="Q458" s="33"/>
      <c r="R458" s="10">
        <f>LEN(M458)</f>
        <v>10</v>
      </c>
      <c r="S458" s="10">
        <f>MOD(R458,2)*4+FLOOR(R458/2,1)*6</f>
        <v>30</v>
      </c>
      <c r="T458" s="12">
        <f>S458+S459</f>
        <v>60</v>
      </c>
    </row>
    <row r="459" spans="1:20" ht="20" customHeight="1">
      <c r="A459" s="22"/>
      <c r="B459" s="6" t="str">
        <f>IF(H459&lt;=12,"有效","无效")</f>
        <v>有效</v>
      </c>
      <c r="C459" s="31" t="s">
        <v>1029</v>
      </c>
      <c r="D459" s="32"/>
      <c r="E459" s="32"/>
      <c r="F459" s="32"/>
      <c r="G459" s="33"/>
      <c r="H459" s="4">
        <f>LEN(C459)</f>
        <v>9</v>
      </c>
      <c r="I459" s="11">
        <f>MOD(H459,2)*4+FLOOR(H459/2,1)*6</f>
        <v>28</v>
      </c>
      <c r="J459" s="12" t="str">
        <f>IF(J458&lt;I457,"有效","无效")</f>
        <v>有效</v>
      </c>
      <c r="K459" s="20"/>
      <c r="L459" s="6" t="str">
        <f>IF(R459&lt;=12,"有效","无效")</f>
        <v>有效</v>
      </c>
      <c r="M459" s="31" t="s">
        <v>2291</v>
      </c>
      <c r="N459" s="32"/>
      <c r="O459" s="32"/>
      <c r="P459" s="32"/>
      <c r="Q459" s="33"/>
      <c r="R459" s="10">
        <f>LEN(M459)</f>
        <v>10</v>
      </c>
      <c r="S459" s="10">
        <f>MOD(R459,2)*4+FLOOR(R459/2,1)*6</f>
        <v>30</v>
      </c>
      <c r="T459" s="12" t="str">
        <f>IF(T458&lt;I457,"有效","无效")</f>
        <v>有效</v>
      </c>
    </row>
    <row r="460" spans="1:20" ht="20" customHeight="1">
      <c r="A460" s="22"/>
      <c r="B460" s="6" t="str">
        <f>IF(H460&lt;=12,"有效","无效")</f>
        <v>有效</v>
      </c>
      <c r="C460" s="31" t="s">
        <v>1030</v>
      </c>
      <c r="D460" s="32"/>
      <c r="E460" s="32"/>
      <c r="F460" s="32"/>
      <c r="G460" s="33"/>
      <c r="H460" s="4">
        <f>LEN(C460)</f>
        <v>5</v>
      </c>
      <c r="I460" s="11">
        <f>MOD(H460,2)*4+FLOOR(H460/2,1)*6</f>
        <v>16</v>
      </c>
      <c r="J460" s="12">
        <f>I460+I461</f>
        <v>34</v>
      </c>
      <c r="K460" s="20"/>
      <c r="L460" s="6" t="str">
        <f>IF(R460&lt;=12,"有效","无效")</f>
        <v>有效</v>
      </c>
      <c r="M460" s="31" t="s">
        <v>2290</v>
      </c>
      <c r="N460" s="32"/>
      <c r="O460" s="32"/>
      <c r="P460" s="32"/>
      <c r="Q460" s="33"/>
      <c r="R460" s="10">
        <f>LEN(M460)</f>
        <v>7</v>
      </c>
      <c r="S460" s="10">
        <f>MOD(R460,2)*4+FLOOR(R460/2,1)*6</f>
        <v>22</v>
      </c>
      <c r="T460" s="12">
        <f>S460+S461</f>
        <v>46</v>
      </c>
    </row>
    <row r="461" spans="1:20" ht="20" customHeight="1">
      <c r="A461" s="22"/>
      <c r="B461" s="6" t="str">
        <f>IF(H461&lt;=12,"有效","无效")</f>
        <v>有效</v>
      </c>
      <c r="C461" s="31" t="s">
        <v>1031</v>
      </c>
      <c r="D461" s="32"/>
      <c r="E461" s="32"/>
      <c r="F461" s="32"/>
      <c r="G461" s="33"/>
      <c r="H461" s="4">
        <f>LEN(C461)</f>
        <v>6</v>
      </c>
      <c r="I461" s="11">
        <f>MOD(H461,2)*4+FLOOR(H461/2,1)*6</f>
        <v>18</v>
      </c>
      <c r="J461" s="12" t="str">
        <f>IF(J460&lt;I457,"有效","无效")</f>
        <v>有效</v>
      </c>
      <c r="K461" s="20"/>
      <c r="L461" s="6" t="str">
        <f>IF(R461&lt;=12,"有效","无效")</f>
        <v>有效</v>
      </c>
      <c r="M461" s="31" t="s">
        <v>1033</v>
      </c>
      <c r="N461" s="32"/>
      <c r="O461" s="32"/>
      <c r="P461" s="32"/>
      <c r="Q461" s="33"/>
      <c r="R461" s="10">
        <f>LEN(M461)</f>
        <v>8</v>
      </c>
      <c r="S461" s="10">
        <f>MOD(R461,2)*4+FLOOR(R461/2,1)*6</f>
        <v>24</v>
      </c>
      <c r="T461" s="12" t="str">
        <f>IF(T460&lt;I457,"有效","无效")</f>
        <v>有效</v>
      </c>
    </row>
    <row r="462" spans="1:20" ht="20" customHeight="1">
      <c r="A462" s="22">
        <v>93</v>
      </c>
      <c r="B462" s="23" t="s">
        <v>144</v>
      </c>
      <c r="C462" s="24" t="s">
        <v>143</v>
      </c>
      <c r="D462" s="14">
        <f>LEN($B462)</f>
        <v>3</v>
      </c>
      <c r="E462" s="14">
        <f>LEN(C462)+3</f>
        <v>6</v>
      </c>
      <c r="F462" s="14">
        <f>MOD(D462,2)*4+FLOOR(D462/2,1)*6</f>
        <v>10</v>
      </c>
      <c r="G462" s="14">
        <f>MOD(E462,2)*4+FLOOR(E462/2,1)*6</f>
        <v>18</v>
      </c>
      <c r="H462" s="14">
        <v>12</v>
      </c>
      <c r="I462" s="14">
        <f>108-H462-G462-F462</f>
        <v>68</v>
      </c>
    </row>
    <row r="463" spans="1:20" ht="20" customHeight="1">
      <c r="A463" s="22"/>
      <c r="B463" s="6" t="str">
        <f>IF(H463&lt;=12,"有效","无效")</f>
        <v>有效</v>
      </c>
      <c r="C463" s="31" t="s">
        <v>1034</v>
      </c>
      <c r="D463" s="32"/>
      <c r="E463" s="32"/>
      <c r="F463" s="32"/>
      <c r="G463" s="33"/>
      <c r="H463" s="4">
        <f>LEN(C463)</f>
        <v>8</v>
      </c>
      <c r="I463" s="11">
        <f>MOD(H463,2)*4+FLOOR(H463/2,1)*6</f>
        <v>24</v>
      </c>
      <c r="J463" s="12">
        <f>I463+I464</f>
        <v>40</v>
      </c>
      <c r="K463" s="20"/>
      <c r="L463" s="13" t="str">
        <f>IF(R463&lt;=12,"有效","无效")</f>
        <v>有效</v>
      </c>
      <c r="M463" s="32" t="s">
        <v>1038</v>
      </c>
      <c r="N463" s="32"/>
      <c r="O463" s="32"/>
      <c r="P463" s="32"/>
      <c r="Q463" s="33"/>
      <c r="R463" s="10">
        <f>LEN(M463)</f>
        <v>6</v>
      </c>
      <c r="S463" s="10">
        <f>MOD(R463,2)*4+FLOOR(R463/2,1)*6</f>
        <v>18</v>
      </c>
      <c r="T463" s="12">
        <f>S463+S464</f>
        <v>46</v>
      </c>
    </row>
    <row r="464" spans="1:20" ht="20" customHeight="1">
      <c r="A464" s="22"/>
      <c r="B464" s="6" t="str">
        <f>IF(H464&lt;=12,"有效","无效")</f>
        <v>有效</v>
      </c>
      <c r="C464" s="31" t="s">
        <v>1035</v>
      </c>
      <c r="D464" s="32"/>
      <c r="E464" s="32"/>
      <c r="F464" s="32"/>
      <c r="G464" s="33"/>
      <c r="H464" s="4">
        <f>LEN(C464)</f>
        <v>5</v>
      </c>
      <c r="I464" s="11">
        <f>MOD(H464,2)*4+FLOOR(H464/2,1)*6</f>
        <v>16</v>
      </c>
      <c r="J464" s="12" t="str">
        <f>IF(J463&lt;I462,"有效","无效")</f>
        <v>有效</v>
      </c>
      <c r="K464" s="20"/>
      <c r="L464" s="6" t="str">
        <f>IF(R464&lt;=12,"有效","无效")</f>
        <v>有效</v>
      </c>
      <c r="M464" s="31" t="s">
        <v>1039</v>
      </c>
      <c r="N464" s="32"/>
      <c r="O464" s="32"/>
      <c r="P464" s="32"/>
      <c r="Q464" s="33"/>
      <c r="R464" s="10">
        <f>LEN(M464)</f>
        <v>9</v>
      </c>
      <c r="S464" s="10">
        <f>MOD(R464,2)*4+FLOOR(R464/2,1)*6</f>
        <v>28</v>
      </c>
      <c r="T464" s="12" t="str">
        <f>IF(T463&lt;I462,"有效","无效")</f>
        <v>有效</v>
      </c>
    </row>
    <row r="465" spans="1:20" ht="20" customHeight="1">
      <c r="A465" s="22"/>
      <c r="B465" s="6" t="str">
        <f>IF(H465&lt;=12,"有效","无效")</f>
        <v>有效</v>
      </c>
      <c r="C465" s="31" t="s">
        <v>1036</v>
      </c>
      <c r="D465" s="32"/>
      <c r="E465" s="32"/>
      <c r="F465" s="32"/>
      <c r="G465" s="33"/>
      <c r="H465" s="4">
        <f>LEN(C465)</f>
        <v>8</v>
      </c>
      <c r="I465" s="11">
        <f>MOD(H465,2)*4+FLOOR(H465/2,1)*6</f>
        <v>24</v>
      </c>
      <c r="J465" s="12">
        <f>I465+I466</f>
        <v>40</v>
      </c>
      <c r="K465" s="20"/>
      <c r="L465" s="6" t="str">
        <f>IF(R465&lt;=12,"有效","无效")</f>
        <v>有效</v>
      </c>
      <c r="M465" s="31" t="s">
        <v>1040</v>
      </c>
      <c r="N465" s="32"/>
      <c r="O465" s="32"/>
      <c r="P465" s="32"/>
      <c r="Q465" s="33"/>
      <c r="R465" s="10">
        <f>LEN(M465)</f>
        <v>11</v>
      </c>
      <c r="S465" s="10">
        <f>MOD(R465,2)*4+FLOOR(R465/2,1)*6</f>
        <v>34</v>
      </c>
      <c r="T465" s="12">
        <f>S465+S466</f>
        <v>62</v>
      </c>
    </row>
    <row r="466" spans="1:20" ht="20" customHeight="1">
      <c r="A466" s="22"/>
      <c r="B466" s="6" t="str">
        <f>IF(H466&lt;=12,"有效","无效")</f>
        <v>有效</v>
      </c>
      <c r="C466" s="31" t="s">
        <v>1037</v>
      </c>
      <c r="D466" s="32"/>
      <c r="E466" s="32"/>
      <c r="F466" s="32"/>
      <c r="G466" s="33"/>
      <c r="H466" s="4">
        <f>LEN(C466)</f>
        <v>5</v>
      </c>
      <c r="I466" s="11">
        <f>MOD(H466,2)*4+FLOOR(H466/2,1)*6</f>
        <v>16</v>
      </c>
      <c r="J466" s="12" t="str">
        <f>IF(J465&lt;I462,"有效","无效")</f>
        <v>有效</v>
      </c>
      <c r="K466" s="20"/>
      <c r="L466" s="6" t="str">
        <f>IF(R466&lt;=12,"有效","无效")</f>
        <v>有效</v>
      </c>
      <c r="M466" s="31" t="s">
        <v>1041</v>
      </c>
      <c r="N466" s="32"/>
      <c r="O466" s="32"/>
      <c r="P466" s="32"/>
      <c r="Q466" s="33"/>
      <c r="R466" s="10">
        <f>LEN(M466)</f>
        <v>9</v>
      </c>
      <c r="S466" s="10">
        <f>MOD(R466,2)*4+FLOOR(R466/2,1)*6</f>
        <v>28</v>
      </c>
      <c r="T466" s="12" t="str">
        <f>IF(T465&lt;I462,"有效","无效")</f>
        <v>有效</v>
      </c>
    </row>
    <row r="467" spans="1:20" ht="20" customHeight="1">
      <c r="A467" s="22">
        <v>94</v>
      </c>
      <c r="B467" s="23" t="s">
        <v>145</v>
      </c>
      <c r="C467" s="24" t="s">
        <v>146</v>
      </c>
      <c r="D467" s="14">
        <f>LEN($B467)</f>
        <v>2</v>
      </c>
      <c r="E467" s="14">
        <f>LEN(C467)+3</f>
        <v>5</v>
      </c>
      <c r="F467" s="14">
        <f>MOD(D467,2)*4+FLOOR(D467/2,1)*6</f>
        <v>6</v>
      </c>
      <c r="G467" s="14">
        <f>MOD(E467,2)*4+FLOOR(E467/2,1)*6</f>
        <v>16</v>
      </c>
      <c r="H467" s="14">
        <v>12</v>
      </c>
      <c r="I467" s="14">
        <f>108-H467-G467-F467</f>
        <v>74</v>
      </c>
    </row>
    <row r="468" spans="1:20" ht="20" customHeight="1">
      <c r="A468" s="22"/>
      <c r="B468" s="6" t="str">
        <f>IF(H468&lt;=12,"有效","无效")</f>
        <v>有效</v>
      </c>
      <c r="C468" s="34" t="s">
        <v>1042</v>
      </c>
      <c r="D468" s="35"/>
      <c r="E468" s="35"/>
      <c r="F468" s="35"/>
      <c r="G468" s="36"/>
      <c r="H468" s="4">
        <f>LEN(C468)</f>
        <v>5</v>
      </c>
      <c r="I468" s="11">
        <f>MOD(H468,2)*4+FLOOR(H468/2,1)*6</f>
        <v>16</v>
      </c>
      <c r="J468" s="12">
        <f>I468+I469</f>
        <v>34</v>
      </c>
      <c r="K468" s="20"/>
      <c r="L468" s="13" t="str">
        <f>IF(R468&lt;=12,"有效","无效")</f>
        <v>有效</v>
      </c>
      <c r="M468" s="32" t="s">
        <v>1046</v>
      </c>
      <c r="N468" s="32"/>
      <c r="O468" s="32"/>
      <c r="P468" s="32"/>
      <c r="Q468" s="33"/>
      <c r="R468" s="10">
        <f>LEN(M468)</f>
        <v>6</v>
      </c>
      <c r="S468" s="10">
        <f>MOD(R468,2)*4+FLOOR(R468/2,1)*6</f>
        <v>18</v>
      </c>
      <c r="T468" s="12">
        <f>S468+S469</f>
        <v>30</v>
      </c>
    </row>
    <row r="469" spans="1:20" ht="20" customHeight="1">
      <c r="A469" s="22"/>
      <c r="B469" s="6" t="str">
        <f>IF(H469&lt;=12,"有效","无效")</f>
        <v>有效</v>
      </c>
      <c r="C469" s="34" t="s">
        <v>1043</v>
      </c>
      <c r="D469" s="35"/>
      <c r="E469" s="35"/>
      <c r="F469" s="35"/>
      <c r="G469" s="36"/>
      <c r="H469" s="4">
        <f>LEN(C469)</f>
        <v>6</v>
      </c>
      <c r="I469" s="11">
        <f>MOD(H469,2)*4+FLOOR(H469/2,1)*6</f>
        <v>18</v>
      </c>
      <c r="J469" s="12" t="str">
        <f>IF(J468&lt;I467,"有效","无效")</f>
        <v>有效</v>
      </c>
      <c r="K469" s="20"/>
      <c r="L469" s="6" t="str">
        <f>IF(R469&lt;=12,"有效","无效")</f>
        <v>有效</v>
      </c>
      <c r="M469" s="31" t="s">
        <v>1047</v>
      </c>
      <c r="N469" s="32"/>
      <c r="O469" s="32"/>
      <c r="P469" s="32"/>
      <c r="Q469" s="33"/>
      <c r="R469" s="10">
        <f>LEN(M469)</f>
        <v>4</v>
      </c>
      <c r="S469" s="10">
        <f>MOD(R469,2)*4+FLOOR(R469/2,1)*6</f>
        <v>12</v>
      </c>
      <c r="T469" s="12" t="str">
        <f>IF(T468&lt;I467,"有效","无效")</f>
        <v>有效</v>
      </c>
    </row>
    <row r="470" spans="1:20" ht="20" customHeight="1">
      <c r="A470" s="22"/>
      <c r="B470" s="6" t="str">
        <f>IF(H470&lt;=12,"有效","无效")</f>
        <v>有效</v>
      </c>
      <c r="C470" s="34" t="s">
        <v>1044</v>
      </c>
      <c r="D470" s="35"/>
      <c r="E470" s="35"/>
      <c r="F470" s="35"/>
      <c r="G470" s="36"/>
      <c r="H470" s="4">
        <f>LEN(C470)</f>
        <v>7</v>
      </c>
      <c r="I470" s="11">
        <f>MOD(H470,2)*4+FLOOR(H470/2,1)*6</f>
        <v>22</v>
      </c>
      <c r="J470" s="12">
        <f>I470+I471</f>
        <v>50</v>
      </c>
      <c r="K470" s="20"/>
      <c r="L470" s="6" t="str">
        <f>IF(R470&lt;=12,"有效","无效")</f>
        <v>有效</v>
      </c>
      <c r="M470" s="31" t="s">
        <v>1048</v>
      </c>
      <c r="N470" s="32"/>
      <c r="O470" s="32"/>
      <c r="P470" s="32"/>
      <c r="Q470" s="33"/>
      <c r="R470" s="10">
        <f>LEN(M470)</f>
        <v>7</v>
      </c>
      <c r="S470" s="10">
        <f>MOD(R470,2)*4+FLOOR(R470/2,1)*6</f>
        <v>22</v>
      </c>
      <c r="T470" s="12">
        <f>S470+S471</f>
        <v>52</v>
      </c>
    </row>
    <row r="471" spans="1:20" ht="20" customHeight="1">
      <c r="A471" s="22"/>
      <c r="B471" s="6" t="str">
        <f>IF(H471&lt;=12,"有效","无效")</f>
        <v>有效</v>
      </c>
      <c r="C471" s="34" t="s">
        <v>1045</v>
      </c>
      <c r="D471" s="35"/>
      <c r="E471" s="35"/>
      <c r="F471" s="35"/>
      <c r="G471" s="36"/>
      <c r="H471" s="4">
        <f>LEN(C471)</f>
        <v>9</v>
      </c>
      <c r="I471" s="11">
        <f>MOD(H471,2)*4+FLOOR(H471/2,1)*6</f>
        <v>28</v>
      </c>
      <c r="J471" s="12" t="str">
        <f>IF(J470&lt;I467,"有效","无效")</f>
        <v>有效</v>
      </c>
      <c r="K471" s="20"/>
      <c r="L471" s="6" t="str">
        <f>IF(R471&lt;=12,"有效","无效")</f>
        <v>有效</v>
      </c>
      <c r="M471" s="31" t="s">
        <v>1049</v>
      </c>
      <c r="N471" s="32"/>
      <c r="O471" s="32"/>
      <c r="P471" s="32"/>
      <c r="Q471" s="33"/>
      <c r="R471" s="10">
        <f>LEN(M471)</f>
        <v>10</v>
      </c>
      <c r="S471" s="10">
        <f>MOD(R471,2)*4+FLOOR(R471/2,1)*6</f>
        <v>30</v>
      </c>
      <c r="T471" s="12" t="str">
        <f>IF(T470&lt;I467,"有效","无效")</f>
        <v>有效</v>
      </c>
    </row>
    <row r="472" spans="1:20" ht="20" customHeight="1">
      <c r="A472" s="22">
        <v>95</v>
      </c>
      <c r="B472" s="23" t="s">
        <v>147</v>
      </c>
      <c r="C472" s="24" t="s">
        <v>148</v>
      </c>
      <c r="D472" s="14">
        <f>LEN($B472)</f>
        <v>3</v>
      </c>
      <c r="E472" s="14">
        <f>LEN(C472)+3</f>
        <v>5</v>
      </c>
      <c r="F472" s="14">
        <f>MOD(D472,2)*4+FLOOR(D472/2,1)*6</f>
        <v>10</v>
      </c>
      <c r="G472" s="14">
        <f>MOD(E472,2)*4+FLOOR(E472/2,1)*6</f>
        <v>16</v>
      </c>
      <c r="H472" s="14">
        <v>12</v>
      </c>
      <c r="I472" s="14">
        <f>108-H472-G472-F472</f>
        <v>70</v>
      </c>
      <c r="J472" s="30"/>
    </row>
    <row r="473" spans="1:20" ht="20" customHeight="1">
      <c r="A473" s="22"/>
      <c r="B473" s="6" t="str">
        <f>IF(H473&lt;=12,"有效","无效")</f>
        <v>有效</v>
      </c>
      <c r="C473" s="34" t="s">
        <v>1050</v>
      </c>
      <c r="D473" s="35"/>
      <c r="E473" s="35"/>
      <c r="F473" s="35"/>
      <c r="G473" s="36"/>
      <c r="H473" s="4">
        <f>LEN(C473)</f>
        <v>6</v>
      </c>
      <c r="I473" s="11">
        <f>MOD(H473,2)*4+FLOOR(H473/2,1)*6</f>
        <v>18</v>
      </c>
      <c r="J473" s="12">
        <f>I473+I474</f>
        <v>48</v>
      </c>
      <c r="K473" s="20"/>
      <c r="L473" s="13" t="str">
        <f>IF(R473&lt;=12,"有效","无效")</f>
        <v>有效</v>
      </c>
      <c r="M473" s="32" t="s">
        <v>1051</v>
      </c>
      <c r="N473" s="32"/>
      <c r="O473" s="32"/>
      <c r="P473" s="32"/>
      <c r="Q473" s="33"/>
      <c r="R473" s="10">
        <f>LEN(M473)</f>
        <v>4</v>
      </c>
      <c r="S473" s="10">
        <f>MOD(R473,2)*4+FLOOR(R473/2,1)*6</f>
        <v>12</v>
      </c>
      <c r="T473" s="12">
        <f>S473+S474</f>
        <v>36</v>
      </c>
    </row>
    <row r="474" spans="1:20" ht="20" customHeight="1">
      <c r="A474" s="22"/>
      <c r="B474" s="6" t="str">
        <f>IF(H474&lt;=12,"有效","无效")</f>
        <v>有效</v>
      </c>
      <c r="C474" s="34" t="s">
        <v>2125</v>
      </c>
      <c r="D474" s="35"/>
      <c r="E474" s="35"/>
      <c r="F474" s="35"/>
      <c r="G474" s="36"/>
      <c r="H474" s="4">
        <f>LEN(C474)</f>
        <v>10</v>
      </c>
      <c r="I474" s="11">
        <f>MOD(H474,2)*4+FLOOR(H474/2,1)*6</f>
        <v>30</v>
      </c>
      <c r="J474" s="12" t="str">
        <f>IF(J473&lt;I472,"有效","无效")</f>
        <v>有效</v>
      </c>
      <c r="K474" s="20"/>
      <c r="L474" s="6" t="str">
        <f>IF(R474&lt;=12,"有效","无效")</f>
        <v>有效</v>
      </c>
      <c r="M474" s="31" t="s">
        <v>1052</v>
      </c>
      <c r="N474" s="32"/>
      <c r="O474" s="32"/>
      <c r="P474" s="32"/>
      <c r="Q474" s="33"/>
      <c r="R474" s="10">
        <f>LEN(M474)</f>
        <v>8</v>
      </c>
      <c r="S474" s="10">
        <f>MOD(R474,2)*4+FLOOR(R474/2,1)*6</f>
        <v>24</v>
      </c>
      <c r="T474" s="12" t="str">
        <f>IF(T473&lt;I472,"有效","无效")</f>
        <v>有效</v>
      </c>
    </row>
    <row r="475" spans="1:20" ht="20" customHeight="1">
      <c r="A475" s="22"/>
      <c r="B475" s="6" t="str">
        <f>IF(H475&lt;=12,"有效","无效")</f>
        <v>有效</v>
      </c>
      <c r="C475" s="34" t="s">
        <v>2127</v>
      </c>
      <c r="D475" s="35"/>
      <c r="E475" s="35"/>
      <c r="F475" s="35"/>
      <c r="G475" s="36"/>
      <c r="H475" s="4">
        <f>LEN(C475)</f>
        <v>5</v>
      </c>
      <c r="I475" s="11">
        <f>MOD(H475,2)*4+FLOOR(H475/2,1)*6</f>
        <v>16</v>
      </c>
      <c r="J475" s="12">
        <f>I475+I476</f>
        <v>34</v>
      </c>
      <c r="K475" s="20"/>
      <c r="L475" s="6" t="str">
        <f>IF(R475&lt;=12,"有效","无效")</f>
        <v>有效</v>
      </c>
      <c r="M475" s="31" t="s">
        <v>1053</v>
      </c>
      <c r="N475" s="32"/>
      <c r="O475" s="32"/>
      <c r="P475" s="32"/>
      <c r="Q475" s="33"/>
      <c r="R475" s="10">
        <f>LEN(M475)</f>
        <v>8</v>
      </c>
      <c r="S475" s="10">
        <f>MOD(R475,2)*4+FLOOR(R475/2,1)*6</f>
        <v>24</v>
      </c>
      <c r="T475" s="12">
        <f>S475+S476</f>
        <v>52</v>
      </c>
    </row>
    <row r="476" spans="1:20" ht="20" customHeight="1">
      <c r="A476" s="22"/>
      <c r="B476" s="6" t="str">
        <f>IF(H476&lt;=12,"有效","无效")</f>
        <v>有效</v>
      </c>
      <c r="C476" s="34" t="s">
        <v>2126</v>
      </c>
      <c r="D476" s="35"/>
      <c r="E476" s="35"/>
      <c r="F476" s="35"/>
      <c r="G476" s="36"/>
      <c r="H476" s="4">
        <f>LEN(C476)</f>
        <v>6</v>
      </c>
      <c r="I476" s="11">
        <f>MOD(H476,2)*4+FLOOR(H476/2,1)*6</f>
        <v>18</v>
      </c>
      <c r="J476" s="12" t="str">
        <f>IF(J475&lt;I472,"有效","无效")</f>
        <v>有效</v>
      </c>
      <c r="K476" s="20"/>
      <c r="L476" s="6" t="str">
        <f>IF(R476&lt;=12,"有效","无效")</f>
        <v>有效</v>
      </c>
      <c r="M476" s="31" t="s">
        <v>1054</v>
      </c>
      <c r="N476" s="32"/>
      <c r="O476" s="32"/>
      <c r="P476" s="32"/>
      <c r="Q476" s="33"/>
      <c r="R476" s="10">
        <f>LEN(M476)</f>
        <v>9</v>
      </c>
      <c r="S476" s="10">
        <f>MOD(R476,2)*4+FLOOR(R476/2,1)*6</f>
        <v>28</v>
      </c>
      <c r="T476" s="12" t="str">
        <f>IF(T475&lt;I472,"有效","无效")</f>
        <v>有效</v>
      </c>
    </row>
    <row r="477" spans="1:20" ht="20" customHeight="1">
      <c r="A477" s="22">
        <v>96</v>
      </c>
      <c r="B477" s="23" t="s">
        <v>149</v>
      </c>
      <c r="C477" s="24" t="s">
        <v>150</v>
      </c>
      <c r="D477" s="14">
        <f>LEN($B477)</f>
        <v>3</v>
      </c>
      <c r="E477" s="14">
        <f>LEN(C477)+3</f>
        <v>5</v>
      </c>
      <c r="F477" s="14">
        <f>MOD(D477,2)*4+FLOOR(D477/2,1)*6</f>
        <v>10</v>
      </c>
      <c r="G477" s="14">
        <f>MOD(E477,2)*4+FLOOR(E477/2,1)*6</f>
        <v>16</v>
      </c>
      <c r="H477" s="14">
        <v>12</v>
      </c>
      <c r="I477" s="14">
        <f>108-H477-G477-F477</f>
        <v>70</v>
      </c>
    </row>
    <row r="478" spans="1:20" ht="20" customHeight="1">
      <c r="A478" s="22"/>
      <c r="B478" s="6" t="str">
        <f>IF(H478&lt;=12,"有效","无效")</f>
        <v>有效</v>
      </c>
      <c r="C478" s="31" t="s">
        <v>1055</v>
      </c>
      <c r="D478" s="32"/>
      <c r="E478" s="32"/>
      <c r="F478" s="32"/>
      <c r="G478" s="33"/>
      <c r="H478" s="4">
        <f>LEN(C478)</f>
        <v>9</v>
      </c>
      <c r="I478" s="11">
        <f>MOD(H478,2)*4+FLOOR(H478/2,1)*6</f>
        <v>28</v>
      </c>
      <c r="J478" s="12">
        <f>I478+I479</f>
        <v>64</v>
      </c>
      <c r="K478" s="20"/>
      <c r="L478" s="13" t="str">
        <f>IF(R478&lt;=12,"有效","无效")</f>
        <v>有效</v>
      </c>
      <c r="M478" s="32" t="s">
        <v>1059</v>
      </c>
      <c r="N478" s="32"/>
      <c r="O478" s="32"/>
      <c r="P478" s="32"/>
      <c r="Q478" s="33"/>
      <c r="R478" s="10">
        <f>LEN(M478)</f>
        <v>11</v>
      </c>
      <c r="S478" s="10">
        <f>MOD(R478,2)*4+FLOOR(R478/2,1)*6</f>
        <v>34</v>
      </c>
      <c r="T478" s="12">
        <f>S478+S479</f>
        <v>70</v>
      </c>
    </row>
    <row r="479" spans="1:20" ht="20" customHeight="1">
      <c r="A479" s="22"/>
      <c r="B479" s="6" t="str">
        <f>IF(H479&lt;=12,"有效","无效")</f>
        <v>有效</v>
      </c>
      <c r="C479" s="31" t="s">
        <v>1056</v>
      </c>
      <c r="D479" s="32"/>
      <c r="E479" s="32"/>
      <c r="F479" s="32"/>
      <c r="G479" s="33"/>
      <c r="H479" s="4">
        <f>LEN(C479)</f>
        <v>12</v>
      </c>
      <c r="I479" s="11">
        <f>MOD(H479,2)*4+FLOOR(H479/2,1)*6</f>
        <v>36</v>
      </c>
      <c r="J479" s="12" t="str">
        <f>IF(J478&lt;I477,"有效","无效")</f>
        <v>有效</v>
      </c>
      <c r="K479" s="20"/>
      <c r="L479" s="6" t="str">
        <f>IF(R479&lt;=12,"有效","无效")</f>
        <v>有效</v>
      </c>
      <c r="M479" s="31" t="s">
        <v>2292</v>
      </c>
      <c r="N479" s="32"/>
      <c r="O479" s="32"/>
      <c r="P479" s="32"/>
      <c r="Q479" s="33"/>
      <c r="R479" s="10">
        <f>LEN(M479)</f>
        <v>12</v>
      </c>
      <c r="S479" s="10">
        <f>MOD(R479,2)*4+FLOOR(R479/2,1)*6</f>
        <v>36</v>
      </c>
      <c r="T479" s="12" t="str">
        <f>IF(T478&lt;I477,"有效","无效")</f>
        <v>无效</v>
      </c>
    </row>
    <row r="480" spans="1:20" ht="20" customHeight="1">
      <c r="A480" s="22"/>
      <c r="B480" s="6" t="str">
        <f>IF(H480&lt;=12,"有效","无效")</f>
        <v>有效</v>
      </c>
      <c r="C480" s="31" t="s">
        <v>1057</v>
      </c>
      <c r="D480" s="32"/>
      <c r="E480" s="32"/>
      <c r="F480" s="32"/>
      <c r="G480" s="33"/>
      <c r="H480" s="4">
        <f>LEN(C480)</f>
        <v>5</v>
      </c>
      <c r="I480" s="11">
        <f>MOD(H480,2)*4+FLOOR(H480/2,1)*6</f>
        <v>16</v>
      </c>
      <c r="J480" s="12">
        <f>I480+I481</f>
        <v>40</v>
      </c>
      <c r="K480" s="20"/>
      <c r="L480" s="6" t="str">
        <f>IF(R480&lt;=12,"有效","无效")</f>
        <v>有效</v>
      </c>
      <c r="M480" s="31" t="s">
        <v>2294</v>
      </c>
      <c r="N480" s="32"/>
      <c r="O480" s="32"/>
      <c r="P480" s="32"/>
      <c r="Q480" s="33"/>
      <c r="R480" s="10">
        <f>LEN(M480)</f>
        <v>6</v>
      </c>
      <c r="S480" s="10">
        <f>MOD(R480,2)*4+FLOOR(R480/2,1)*6</f>
        <v>18</v>
      </c>
      <c r="T480" s="12">
        <f>S480+S481</f>
        <v>34</v>
      </c>
    </row>
    <row r="481" spans="1:20" ht="20" customHeight="1">
      <c r="A481" s="22"/>
      <c r="B481" s="6" t="str">
        <f>IF(H481&lt;=12,"有效","无效")</f>
        <v>有效</v>
      </c>
      <c r="C481" s="31" t="s">
        <v>1058</v>
      </c>
      <c r="D481" s="32"/>
      <c r="E481" s="32"/>
      <c r="F481" s="32"/>
      <c r="G481" s="33"/>
      <c r="H481" s="4">
        <f>LEN(C481)</f>
        <v>8</v>
      </c>
      <c r="I481" s="11">
        <f>MOD(H481,2)*4+FLOOR(H481/2,1)*6</f>
        <v>24</v>
      </c>
      <c r="J481" s="12" t="str">
        <f>IF(J480&lt;I477,"有效","无效")</f>
        <v>有效</v>
      </c>
      <c r="K481" s="20"/>
      <c r="L481" s="6" t="str">
        <f>IF(R481&lt;=12,"有效","无效")</f>
        <v>有效</v>
      </c>
      <c r="M481" s="31" t="s">
        <v>2293</v>
      </c>
      <c r="N481" s="32"/>
      <c r="O481" s="32"/>
      <c r="P481" s="32"/>
      <c r="Q481" s="33"/>
      <c r="R481" s="10">
        <f>LEN(M481)</f>
        <v>5</v>
      </c>
      <c r="S481" s="10">
        <f>MOD(R481,2)*4+FLOOR(R481/2,1)*6</f>
        <v>16</v>
      </c>
      <c r="T481" s="12" t="str">
        <f>IF(T480&lt;I477,"有效","无效")</f>
        <v>有效</v>
      </c>
    </row>
    <row r="482" spans="1:20" ht="20" customHeight="1">
      <c r="A482" s="22">
        <v>97</v>
      </c>
      <c r="B482" s="23" t="s">
        <v>151</v>
      </c>
      <c r="C482" s="24" t="s">
        <v>150</v>
      </c>
      <c r="D482" s="14">
        <f>LEN($B482)</f>
        <v>4</v>
      </c>
      <c r="E482" s="14">
        <f>LEN(C482)+3</f>
        <v>5</v>
      </c>
      <c r="F482" s="14">
        <f>MOD(D482,2)*4+FLOOR(D482/2,1)*6</f>
        <v>12</v>
      </c>
      <c r="G482" s="14">
        <f>MOD(E482,2)*4+FLOOR(E482/2,1)*6</f>
        <v>16</v>
      </c>
      <c r="H482" s="14">
        <v>12</v>
      </c>
      <c r="I482" s="14">
        <f>108-H482-G482-F482</f>
        <v>68</v>
      </c>
      <c r="J482" s="30"/>
    </row>
    <row r="483" spans="1:20" ht="20" customHeight="1">
      <c r="A483" s="22"/>
      <c r="B483" s="6" t="str">
        <f>IF(H483&lt;=12,"有效","无效")</f>
        <v>有效</v>
      </c>
      <c r="C483" s="34" t="s">
        <v>2128</v>
      </c>
      <c r="D483" s="35"/>
      <c r="E483" s="35"/>
      <c r="F483" s="35"/>
      <c r="G483" s="36"/>
      <c r="H483" s="4">
        <f>LEN(C483)</f>
        <v>3</v>
      </c>
      <c r="I483" s="11">
        <f>MOD(H483,2)*4+FLOOR(H483/2,1)*6</f>
        <v>10</v>
      </c>
      <c r="J483" s="12">
        <f>I483+I484</f>
        <v>28</v>
      </c>
      <c r="K483" s="20"/>
      <c r="L483" s="13" t="str">
        <f>IF(R483&lt;=12,"有效","无效")</f>
        <v>有效</v>
      </c>
      <c r="M483" s="32" t="s">
        <v>1061</v>
      </c>
      <c r="N483" s="32"/>
      <c r="O483" s="32"/>
      <c r="P483" s="32"/>
      <c r="Q483" s="33"/>
      <c r="R483" s="10">
        <f>LEN(M483)</f>
        <v>8</v>
      </c>
      <c r="S483" s="10">
        <f>MOD(R483,2)*4+FLOOR(R483/2,1)*6</f>
        <v>24</v>
      </c>
      <c r="T483" s="12">
        <f>S483+S484</f>
        <v>58</v>
      </c>
    </row>
    <row r="484" spans="1:20" ht="20" customHeight="1">
      <c r="A484" s="22"/>
      <c r="B484" s="6" t="str">
        <f>IF(H484&lt;=12,"有效","无效")</f>
        <v>有效</v>
      </c>
      <c r="C484" s="34" t="s">
        <v>2129</v>
      </c>
      <c r="D484" s="35"/>
      <c r="E484" s="35"/>
      <c r="F484" s="35"/>
      <c r="G484" s="36"/>
      <c r="H484" s="4">
        <f>LEN(C484)</f>
        <v>6</v>
      </c>
      <c r="I484" s="11">
        <f>MOD(H484,2)*4+FLOOR(H484/2,1)*6</f>
        <v>18</v>
      </c>
      <c r="J484" s="12" t="str">
        <f>IF(J483&lt;I482,"有效","无效")</f>
        <v>有效</v>
      </c>
      <c r="K484" s="20"/>
      <c r="L484" s="6" t="str">
        <f>IF(R484&lt;=12,"有效","无效")</f>
        <v>有效</v>
      </c>
      <c r="M484" s="31" t="s">
        <v>1062</v>
      </c>
      <c r="N484" s="32"/>
      <c r="O484" s="32"/>
      <c r="P484" s="32"/>
      <c r="Q484" s="33"/>
      <c r="R484" s="10">
        <f>LEN(M484)</f>
        <v>11</v>
      </c>
      <c r="S484" s="10">
        <f>MOD(R484,2)*4+FLOOR(R484/2,1)*6</f>
        <v>34</v>
      </c>
      <c r="T484" s="12" t="str">
        <f>IF(T483&lt;I482,"有效","无效")</f>
        <v>有效</v>
      </c>
    </row>
    <row r="485" spans="1:20" ht="20" customHeight="1">
      <c r="A485" s="22"/>
      <c r="B485" s="6" t="str">
        <f>IF(H485&lt;=12,"有效","无效")</f>
        <v>有效</v>
      </c>
      <c r="C485" s="34" t="s">
        <v>2237</v>
      </c>
      <c r="D485" s="35"/>
      <c r="E485" s="35"/>
      <c r="F485" s="35"/>
      <c r="G485" s="36"/>
      <c r="H485" s="4">
        <f>LEN(C485)</f>
        <v>12</v>
      </c>
      <c r="I485" s="11">
        <f>MOD(H485,2)*4+FLOOR(H485/2,1)*6</f>
        <v>36</v>
      </c>
      <c r="J485" s="12">
        <f>I485+I486</f>
        <v>64</v>
      </c>
      <c r="K485" s="20"/>
      <c r="L485" s="6" t="str">
        <f>IF(R485&lt;=12,"有效","无效")</f>
        <v>有效</v>
      </c>
      <c r="M485" s="31" t="s">
        <v>1063</v>
      </c>
      <c r="N485" s="32"/>
      <c r="O485" s="32"/>
      <c r="P485" s="32"/>
      <c r="Q485" s="33"/>
      <c r="R485" s="10">
        <f>LEN(M485)</f>
        <v>10</v>
      </c>
      <c r="S485" s="10">
        <f>MOD(R485,2)*4+FLOOR(R485/2,1)*6</f>
        <v>30</v>
      </c>
      <c r="T485" s="12">
        <f>S485+S486</f>
        <v>46</v>
      </c>
    </row>
    <row r="486" spans="1:20" ht="20" customHeight="1">
      <c r="A486" s="22"/>
      <c r="B486" s="6" t="str">
        <f>IF(H486&lt;=12,"有效","无效")</f>
        <v>有效</v>
      </c>
      <c r="C486" s="34" t="s">
        <v>1060</v>
      </c>
      <c r="D486" s="35"/>
      <c r="E486" s="35"/>
      <c r="F486" s="35"/>
      <c r="G486" s="36"/>
      <c r="H486" s="4">
        <f>LEN(C486)</f>
        <v>9</v>
      </c>
      <c r="I486" s="11">
        <f>MOD(H486,2)*4+FLOOR(H486/2,1)*6</f>
        <v>28</v>
      </c>
      <c r="J486" s="12" t="str">
        <f>IF(J485&lt;I482,"有效","无效")</f>
        <v>有效</v>
      </c>
      <c r="K486" s="20"/>
      <c r="L486" s="6" t="str">
        <f>IF(R486&lt;=12,"有效","无效")</f>
        <v>有效</v>
      </c>
      <c r="M486" s="31" t="s">
        <v>1064</v>
      </c>
      <c r="N486" s="32"/>
      <c r="O486" s="32"/>
      <c r="P486" s="32"/>
      <c r="Q486" s="33"/>
      <c r="R486" s="10">
        <f>LEN(M486)</f>
        <v>5</v>
      </c>
      <c r="S486" s="10">
        <f>MOD(R486,2)*4+FLOOR(R486/2,1)*6</f>
        <v>16</v>
      </c>
      <c r="T486" s="12" t="str">
        <f>IF(T485&lt;I482,"有效","无效")</f>
        <v>有效</v>
      </c>
    </row>
    <row r="487" spans="1:20" ht="20" customHeight="1">
      <c r="A487" s="22">
        <v>98</v>
      </c>
      <c r="B487" s="23" t="s">
        <v>152</v>
      </c>
      <c r="C487" s="24" t="s">
        <v>153</v>
      </c>
      <c r="D487" s="14">
        <f>LEN($B487)</f>
        <v>3</v>
      </c>
      <c r="E487" s="14">
        <f>LEN(C487)+3</f>
        <v>6</v>
      </c>
      <c r="F487" s="14">
        <f>MOD(D487,2)*4+FLOOR(D487/2,1)*6</f>
        <v>10</v>
      </c>
      <c r="G487" s="14">
        <f>MOD(E487,2)*4+FLOOR(E487/2,1)*6</f>
        <v>18</v>
      </c>
      <c r="H487" s="14">
        <v>12</v>
      </c>
      <c r="I487" s="14">
        <f>108-H487-G487-F487</f>
        <v>68</v>
      </c>
      <c r="J487" s="30"/>
    </row>
    <row r="488" spans="1:20" ht="20" customHeight="1">
      <c r="A488" s="22"/>
      <c r="B488" s="6" t="str">
        <f>IF(H488&lt;=12,"有效","无效")</f>
        <v>有效</v>
      </c>
      <c r="C488" s="31" t="s">
        <v>2130</v>
      </c>
      <c r="D488" s="32"/>
      <c r="E488" s="32"/>
      <c r="F488" s="32"/>
      <c r="G488" s="33"/>
      <c r="H488" s="4">
        <f>LEN(C488)</f>
        <v>10</v>
      </c>
      <c r="I488" s="11">
        <f>MOD(H488,2)*4+FLOOR(H488/2,1)*6</f>
        <v>30</v>
      </c>
      <c r="J488" s="12">
        <f>I488+I489</f>
        <v>64</v>
      </c>
      <c r="K488" s="20"/>
      <c r="L488" s="13" t="str">
        <f>IF(R488&lt;=12,"有效","无效")</f>
        <v>有效</v>
      </c>
      <c r="M488" s="35" t="s">
        <v>1065</v>
      </c>
      <c r="N488" s="35"/>
      <c r="O488" s="35"/>
      <c r="P488" s="35"/>
      <c r="Q488" s="36"/>
      <c r="R488" s="10">
        <f>LEN(M488)</f>
        <v>9</v>
      </c>
      <c r="S488" s="10">
        <f>MOD(R488,2)*4+FLOOR(R488/2,1)*6</f>
        <v>28</v>
      </c>
      <c r="T488" s="12">
        <f>S488+S489</f>
        <v>50</v>
      </c>
    </row>
    <row r="489" spans="1:20" ht="20" customHeight="1">
      <c r="A489" s="22"/>
      <c r="B489" s="6" t="str">
        <f>IF(H489&lt;=12,"有效","无效")</f>
        <v>有效</v>
      </c>
      <c r="C489" s="31" t="s">
        <v>2131</v>
      </c>
      <c r="D489" s="32"/>
      <c r="E489" s="32"/>
      <c r="F489" s="32"/>
      <c r="G489" s="33"/>
      <c r="H489" s="4">
        <f>LEN(C489)</f>
        <v>11</v>
      </c>
      <c r="I489" s="11">
        <f>MOD(H489,2)*4+FLOOR(H489/2,1)*6</f>
        <v>34</v>
      </c>
      <c r="J489" s="12" t="str">
        <f>IF(J488&lt;I487,"有效","无效")</f>
        <v>有效</v>
      </c>
      <c r="K489" s="20"/>
      <c r="L489" s="6" t="str">
        <f>IF(R489&lt;=12,"有效","无效")</f>
        <v>有效</v>
      </c>
      <c r="M489" s="34" t="s">
        <v>1066</v>
      </c>
      <c r="N489" s="35"/>
      <c r="O489" s="35"/>
      <c r="P489" s="35"/>
      <c r="Q489" s="36"/>
      <c r="R489" s="10">
        <f>LEN(M489)</f>
        <v>7</v>
      </c>
      <c r="S489" s="10">
        <f>MOD(R489,2)*4+FLOOR(R489/2,1)*6</f>
        <v>22</v>
      </c>
      <c r="T489" s="12" t="str">
        <f>IF(T488&lt;I487,"有效","无效")</f>
        <v>有效</v>
      </c>
    </row>
    <row r="490" spans="1:20" ht="20" customHeight="1">
      <c r="A490" s="22"/>
      <c r="B490" s="6" t="str">
        <f>IF(H490&lt;=12,"有效","无效")</f>
        <v>有效</v>
      </c>
      <c r="C490" s="31" t="s">
        <v>2133</v>
      </c>
      <c r="D490" s="32"/>
      <c r="E490" s="32"/>
      <c r="F490" s="32"/>
      <c r="G490" s="33"/>
      <c r="H490" s="4">
        <f>LEN(C490)</f>
        <v>3</v>
      </c>
      <c r="I490" s="11">
        <f>MOD(H490,2)*4+FLOOR(H490/2,1)*6</f>
        <v>10</v>
      </c>
      <c r="J490" s="12">
        <f>I490+I491</f>
        <v>28</v>
      </c>
      <c r="K490" s="20"/>
      <c r="L490" s="6" t="str">
        <f>IF(R490&lt;=12,"有效","无效")</f>
        <v>有效</v>
      </c>
      <c r="M490" s="34" t="s">
        <v>1067</v>
      </c>
      <c r="N490" s="35"/>
      <c r="O490" s="35"/>
      <c r="P490" s="35"/>
      <c r="Q490" s="36"/>
      <c r="R490" s="10">
        <f>LEN(M490)</f>
        <v>6</v>
      </c>
      <c r="S490" s="10">
        <f>MOD(R490,2)*4+FLOOR(R490/2,1)*6</f>
        <v>18</v>
      </c>
      <c r="T490" s="12">
        <f>S490+S491</f>
        <v>42</v>
      </c>
    </row>
    <row r="491" spans="1:20" ht="20" customHeight="1">
      <c r="A491" s="22"/>
      <c r="B491" s="6" t="str">
        <f>IF(H491&lt;=12,"有效","无效")</f>
        <v>有效</v>
      </c>
      <c r="C491" s="31" t="s">
        <v>2132</v>
      </c>
      <c r="D491" s="32"/>
      <c r="E491" s="32"/>
      <c r="F491" s="32"/>
      <c r="G491" s="33"/>
      <c r="H491" s="4">
        <f>LEN(C491)</f>
        <v>6</v>
      </c>
      <c r="I491" s="11">
        <f>MOD(H491,2)*4+FLOOR(H491/2,1)*6</f>
        <v>18</v>
      </c>
      <c r="J491" s="12" t="str">
        <f>IF(J490&lt;I487,"有效","无效")</f>
        <v>有效</v>
      </c>
      <c r="K491" s="20"/>
      <c r="L491" s="6" t="str">
        <f>IF(R491&lt;=12,"有效","无效")</f>
        <v>有效</v>
      </c>
      <c r="M491" s="34" t="s">
        <v>1068</v>
      </c>
      <c r="N491" s="35"/>
      <c r="O491" s="35"/>
      <c r="P491" s="35"/>
      <c r="Q491" s="36"/>
      <c r="R491" s="10">
        <f>LEN(M491)</f>
        <v>8</v>
      </c>
      <c r="S491" s="10">
        <f>MOD(R491,2)*4+FLOOR(R491/2,1)*6</f>
        <v>24</v>
      </c>
      <c r="T491" s="12" t="str">
        <f>IF(T490&lt;I487,"有效","无效")</f>
        <v>有效</v>
      </c>
    </row>
    <row r="492" spans="1:20" ht="20" customHeight="1">
      <c r="A492" s="22">
        <v>99</v>
      </c>
      <c r="B492" s="23" t="s">
        <v>154</v>
      </c>
      <c r="C492" s="24" t="s">
        <v>155</v>
      </c>
      <c r="D492" s="14">
        <f>LEN($B492)</f>
        <v>3</v>
      </c>
      <c r="E492" s="14">
        <f>LEN(C492)+3</f>
        <v>5</v>
      </c>
      <c r="F492" s="14">
        <f>MOD(D492,2)*4+FLOOR(D492/2,1)*6</f>
        <v>10</v>
      </c>
      <c r="G492" s="14">
        <f>MOD(E492,2)*4+FLOOR(E492/2,1)*6</f>
        <v>16</v>
      </c>
      <c r="H492" s="14">
        <v>12</v>
      </c>
      <c r="I492" s="14">
        <f>108-H492-G492-F492</f>
        <v>70</v>
      </c>
      <c r="J492" s="30"/>
    </row>
    <row r="493" spans="1:20" ht="20" customHeight="1">
      <c r="A493" s="22"/>
      <c r="B493" s="6" t="str">
        <f>IF(H493&lt;=12,"有效","无效")</f>
        <v>有效</v>
      </c>
      <c r="C493" s="34" t="s">
        <v>2134</v>
      </c>
      <c r="D493" s="35"/>
      <c r="E493" s="35"/>
      <c r="F493" s="35"/>
      <c r="G493" s="36"/>
      <c r="H493" s="4">
        <f>LEN(C493)</f>
        <v>11</v>
      </c>
      <c r="I493" s="11">
        <f>MOD(H493,2)*4+FLOOR(H493/2,1)*6</f>
        <v>34</v>
      </c>
      <c r="J493" s="12">
        <f>I493+I494</f>
        <v>50</v>
      </c>
      <c r="K493" s="20"/>
      <c r="L493" s="13" t="str">
        <f>IF(R493&lt;=12,"有效","无效")</f>
        <v>有效</v>
      </c>
      <c r="M493" s="35" t="s">
        <v>1070</v>
      </c>
      <c r="N493" s="35"/>
      <c r="O493" s="35"/>
      <c r="P493" s="35"/>
      <c r="Q493" s="36"/>
      <c r="R493" s="10">
        <f>LEN(M493)</f>
        <v>7</v>
      </c>
      <c r="S493" s="10">
        <f>MOD(R493,2)*4+FLOOR(R493/2,1)*6</f>
        <v>22</v>
      </c>
      <c r="T493" s="12">
        <f>S493+S494</f>
        <v>58</v>
      </c>
    </row>
    <row r="494" spans="1:20" ht="20" customHeight="1">
      <c r="A494" s="22"/>
      <c r="B494" s="6" t="str">
        <f>IF(H494&lt;=12,"有效","无效")</f>
        <v>有效</v>
      </c>
      <c r="C494" s="34" t="s">
        <v>1069</v>
      </c>
      <c r="D494" s="35"/>
      <c r="E494" s="35"/>
      <c r="F494" s="35"/>
      <c r="G494" s="36"/>
      <c r="H494" s="4">
        <f>LEN(C494)</f>
        <v>5</v>
      </c>
      <c r="I494" s="11">
        <f>MOD(H494,2)*4+FLOOR(H494/2,1)*6</f>
        <v>16</v>
      </c>
      <c r="J494" s="12" t="str">
        <f>IF(J493&lt;I492,"有效","无效")</f>
        <v>有效</v>
      </c>
      <c r="K494" s="20"/>
      <c r="L494" s="6" t="str">
        <f>IF(R494&lt;=12,"有效","无效")</f>
        <v>有效</v>
      </c>
      <c r="M494" s="34" t="s">
        <v>2296</v>
      </c>
      <c r="N494" s="35"/>
      <c r="O494" s="35"/>
      <c r="P494" s="35"/>
      <c r="Q494" s="36"/>
      <c r="R494" s="10">
        <f>LEN(M494)</f>
        <v>12</v>
      </c>
      <c r="S494" s="10">
        <f>MOD(R494,2)*4+FLOOR(R494/2,1)*6</f>
        <v>36</v>
      </c>
      <c r="T494" s="12" t="str">
        <f>IF(T493&lt;I492,"有效","无效")</f>
        <v>有效</v>
      </c>
    </row>
    <row r="495" spans="1:20" ht="20" customHeight="1">
      <c r="A495" s="22"/>
      <c r="B495" s="6" t="str">
        <f>IF(H495&lt;=12,"有效","无效")</f>
        <v>有效</v>
      </c>
      <c r="C495" s="34" t="s">
        <v>2136</v>
      </c>
      <c r="D495" s="35"/>
      <c r="E495" s="35"/>
      <c r="F495" s="35"/>
      <c r="G495" s="36"/>
      <c r="H495" s="4">
        <f>LEN(C495)</f>
        <v>5</v>
      </c>
      <c r="I495" s="11">
        <f>MOD(H495,2)*4+FLOOR(H495/2,1)*6</f>
        <v>16</v>
      </c>
      <c r="J495" s="12">
        <f>I495+I496</f>
        <v>32</v>
      </c>
      <c r="K495" s="20"/>
      <c r="L495" s="6" t="str">
        <f>IF(R495&lt;=12,"有效","无效")</f>
        <v>有效</v>
      </c>
      <c r="M495" s="34" t="s">
        <v>2295</v>
      </c>
      <c r="N495" s="35"/>
      <c r="O495" s="35"/>
      <c r="P495" s="35"/>
      <c r="Q495" s="36"/>
      <c r="R495" s="10">
        <f>LEN(M495)</f>
        <v>7</v>
      </c>
      <c r="S495" s="10">
        <f>MOD(R495,2)*4+FLOOR(R495/2,1)*6</f>
        <v>22</v>
      </c>
      <c r="T495" s="12">
        <f>S495+S496</f>
        <v>46</v>
      </c>
    </row>
    <row r="496" spans="1:20" ht="20" customHeight="1">
      <c r="A496" s="22"/>
      <c r="B496" s="6" t="str">
        <f>IF(H496&lt;=12,"有效","无效")</f>
        <v>有效</v>
      </c>
      <c r="C496" s="34" t="s">
        <v>2135</v>
      </c>
      <c r="D496" s="35"/>
      <c r="E496" s="35"/>
      <c r="F496" s="35"/>
      <c r="G496" s="36"/>
      <c r="H496" s="4">
        <f>LEN(C496)</f>
        <v>5</v>
      </c>
      <c r="I496" s="11">
        <f>MOD(H496,2)*4+FLOOR(H496/2,1)*6</f>
        <v>16</v>
      </c>
      <c r="J496" s="12" t="str">
        <f>IF(J495&lt;I492,"有效","无效")</f>
        <v>有效</v>
      </c>
      <c r="K496" s="20"/>
      <c r="L496" s="6" t="str">
        <f>IF(R496&lt;=12,"有效","无效")</f>
        <v>有效</v>
      </c>
      <c r="M496" s="34" t="s">
        <v>1071</v>
      </c>
      <c r="N496" s="35"/>
      <c r="O496" s="35"/>
      <c r="P496" s="35"/>
      <c r="Q496" s="36"/>
      <c r="R496" s="10">
        <f>LEN(M496)</f>
        <v>8</v>
      </c>
      <c r="S496" s="10">
        <f>MOD(R496,2)*4+FLOOR(R496/2,1)*6</f>
        <v>24</v>
      </c>
      <c r="T496" s="12" t="str">
        <f>IF(T495&lt;I492,"有效","无效")</f>
        <v>有效</v>
      </c>
    </row>
    <row r="497" spans="1:20" ht="20" customHeight="1">
      <c r="A497" s="22">
        <v>100</v>
      </c>
      <c r="B497" s="23" t="s">
        <v>156</v>
      </c>
      <c r="C497" s="24" t="s">
        <v>157</v>
      </c>
      <c r="D497" s="14">
        <f>LEN($B497)</f>
        <v>4</v>
      </c>
      <c r="E497" s="14">
        <f>LEN(C497)+3</f>
        <v>4</v>
      </c>
      <c r="F497" s="14">
        <f>MOD(D497,2)*4+FLOOR(D497/2,1)*6</f>
        <v>12</v>
      </c>
      <c r="G497" s="14">
        <f>MOD(E497,2)*4+FLOOR(E497/2,1)*6</f>
        <v>12</v>
      </c>
      <c r="H497" s="14">
        <v>12</v>
      </c>
      <c r="I497" s="14">
        <f>108-H497-G497-F497</f>
        <v>72</v>
      </c>
    </row>
    <row r="498" spans="1:20" ht="20" customHeight="1">
      <c r="A498" s="22"/>
      <c r="B498" s="6" t="str">
        <f>IF(H498&lt;=12,"有效","无效")</f>
        <v>有效</v>
      </c>
      <c r="C498" s="31" t="s">
        <v>1072</v>
      </c>
      <c r="D498" s="32"/>
      <c r="E498" s="32"/>
      <c r="F498" s="32"/>
      <c r="G498" s="33"/>
      <c r="H498" s="4">
        <f>LEN(C498)</f>
        <v>9</v>
      </c>
      <c r="I498" s="11">
        <f>MOD(H498,2)*4+FLOOR(H498/2,1)*6</f>
        <v>28</v>
      </c>
      <c r="J498" s="12">
        <f>I498+I499</f>
        <v>56</v>
      </c>
      <c r="K498" s="20"/>
      <c r="L498" s="13" t="str">
        <f>IF(R498&lt;=12,"有效","无效")</f>
        <v>有效</v>
      </c>
      <c r="M498" s="32" t="s">
        <v>1076</v>
      </c>
      <c r="N498" s="32"/>
      <c r="O498" s="32"/>
      <c r="P498" s="32"/>
      <c r="Q498" s="33"/>
      <c r="R498" s="10">
        <f>LEN(M498)</f>
        <v>7</v>
      </c>
      <c r="S498" s="10">
        <f>MOD(R498,2)*4+FLOOR(R498/2,1)*6</f>
        <v>22</v>
      </c>
      <c r="T498" s="12">
        <f>S498+S499</f>
        <v>46</v>
      </c>
    </row>
    <row r="499" spans="1:20" ht="20" customHeight="1">
      <c r="A499" s="22"/>
      <c r="B499" s="6" t="str">
        <f>IF(H499&lt;=12,"有效","无效")</f>
        <v>有效</v>
      </c>
      <c r="C499" s="31" t="s">
        <v>1073</v>
      </c>
      <c r="D499" s="32"/>
      <c r="E499" s="32"/>
      <c r="F499" s="32"/>
      <c r="G499" s="33"/>
      <c r="H499" s="4">
        <f>LEN(C499)</f>
        <v>9</v>
      </c>
      <c r="I499" s="11">
        <f>MOD(H499,2)*4+FLOOR(H499/2,1)*6</f>
        <v>28</v>
      </c>
      <c r="J499" s="12" t="str">
        <f>IF(J498&lt;I497,"有效","无效")</f>
        <v>有效</v>
      </c>
      <c r="K499" s="20"/>
      <c r="L499" s="6" t="str">
        <f>IF(R499&lt;=12,"有效","无效")</f>
        <v>有效</v>
      </c>
      <c r="M499" s="31" t="s">
        <v>1077</v>
      </c>
      <c r="N499" s="32"/>
      <c r="O499" s="32"/>
      <c r="P499" s="32"/>
      <c r="Q499" s="33"/>
      <c r="R499" s="10">
        <f>LEN(M499)</f>
        <v>8</v>
      </c>
      <c r="S499" s="10">
        <f>MOD(R499,2)*4+FLOOR(R499/2,1)*6</f>
        <v>24</v>
      </c>
      <c r="T499" s="12" t="str">
        <f>IF(T498&lt;I497,"有效","无效")</f>
        <v>有效</v>
      </c>
    </row>
    <row r="500" spans="1:20" ht="20" customHeight="1">
      <c r="A500" s="22"/>
      <c r="B500" s="6" t="str">
        <f>IF(H500&lt;=12,"有效","无效")</f>
        <v>有效</v>
      </c>
      <c r="C500" s="31" t="s">
        <v>1074</v>
      </c>
      <c r="D500" s="32"/>
      <c r="E500" s="32"/>
      <c r="F500" s="32"/>
      <c r="G500" s="33"/>
      <c r="H500" s="4">
        <f>LEN(C500)</f>
        <v>6</v>
      </c>
      <c r="I500" s="11">
        <f>MOD(H500,2)*4+FLOOR(H500/2,1)*6</f>
        <v>18</v>
      </c>
      <c r="J500" s="12">
        <f>I500+I501</f>
        <v>30</v>
      </c>
      <c r="K500" s="20"/>
      <c r="L500" s="6" t="str">
        <f>IF(R500&lt;=12,"有效","无效")</f>
        <v>有效</v>
      </c>
      <c r="M500" s="31" t="s">
        <v>1078</v>
      </c>
      <c r="N500" s="32"/>
      <c r="O500" s="32"/>
      <c r="P500" s="32"/>
      <c r="Q500" s="33"/>
      <c r="R500" s="10">
        <f>LEN(M500)</f>
        <v>6</v>
      </c>
      <c r="S500" s="10">
        <f>MOD(R500,2)*4+FLOOR(R500/2,1)*6</f>
        <v>18</v>
      </c>
      <c r="T500" s="12">
        <f>S500+S501</f>
        <v>40</v>
      </c>
    </row>
    <row r="501" spans="1:20" ht="20" customHeight="1">
      <c r="A501" s="22"/>
      <c r="B501" s="6" t="str">
        <f>IF(H501&lt;=12,"有效","无效")</f>
        <v>有效</v>
      </c>
      <c r="C501" s="31" t="s">
        <v>1075</v>
      </c>
      <c r="D501" s="32"/>
      <c r="E501" s="32"/>
      <c r="F501" s="32"/>
      <c r="G501" s="33"/>
      <c r="H501" s="4">
        <f>LEN(C501)</f>
        <v>4</v>
      </c>
      <c r="I501" s="11">
        <f>MOD(H501,2)*4+FLOOR(H501/2,1)*6</f>
        <v>12</v>
      </c>
      <c r="J501" s="12" t="str">
        <f>IF(J500&lt;I497,"有效","无效")</f>
        <v>有效</v>
      </c>
      <c r="K501" s="20"/>
      <c r="L501" s="6" t="str">
        <f>IF(R501&lt;=12,"有效","无效")</f>
        <v>有效</v>
      </c>
      <c r="M501" s="31" t="s">
        <v>1079</v>
      </c>
      <c r="N501" s="32"/>
      <c r="O501" s="32"/>
      <c r="P501" s="32"/>
      <c r="Q501" s="33"/>
      <c r="R501" s="10">
        <f>LEN(M501)</f>
        <v>7</v>
      </c>
      <c r="S501" s="10">
        <f>MOD(R501,2)*4+FLOOR(R501/2,1)*6</f>
        <v>22</v>
      </c>
      <c r="T501" s="12" t="str">
        <f>IF(T500&lt;I497,"有效","无效")</f>
        <v>有效</v>
      </c>
    </row>
    <row r="502" spans="1:20" ht="20" customHeight="1">
      <c r="A502" s="22">
        <v>101</v>
      </c>
      <c r="B502" s="23" t="s">
        <v>158</v>
      </c>
      <c r="C502" s="24" t="s">
        <v>157</v>
      </c>
      <c r="D502" s="14">
        <f>LEN($B502)</f>
        <v>4</v>
      </c>
      <c r="E502" s="14">
        <f>LEN(C502)+3</f>
        <v>4</v>
      </c>
      <c r="F502" s="14">
        <f>MOD(D502,2)*4+FLOOR(D502/2,1)*6</f>
        <v>12</v>
      </c>
      <c r="G502" s="14">
        <f>MOD(E502,2)*4+FLOOR(E502/2,1)*6</f>
        <v>12</v>
      </c>
      <c r="H502" s="14">
        <v>12</v>
      </c>
      <c r="I502" s="14">
        <f>108-H502-G502-F502</f>
        <v>72</v>
      </c>
    </row>
    <row r="503" spans="1:20" ht="20" customHeight="1">
      <c r="A503" s="22"/>
      <c r="B503" s="6" t="str">
        <f>IF(H503&lt;=12,"有效","无效")</f>
        <v>有效</v>
      </c>
      <c r="C503" s="34" t="s">
        <v>1080</v>
      </c>
      <c r="D503" s="35"/>
      <c r="E503" s="35"/>
      <c r="F503" s="35"/>
      <c r="G503" s="36"/>
      <c r="H503" s="4">
        <f>LEN(C503)</f>
        <v>5</v>
      </c>
      <c r="I503" s="11">
        <f>MOD(H503,2)*4+FLOOR(H503/2,1)*6</f>
        <v>16</v>
      </c>
      <c r="J503" s="12">
        <f>I503+I504</f>
        <v>40</v>
      </c>
      <c r="K503" s="20"/>
      <c r="L503" s="13" t="str">
        <f>IF(R503&lt;=12,"有效","无效")</f>
        <v>有效</v>
      </c>
      <c r="M503" s="32" t="s">
        <v>1083</v>
      </c>
      <c r="N503" s="32"/>
      <c r="O503" s="32"/>
      <c r="P503" s="32"/>
      <c r="Q503" s="33"/>
      <c r="R503" s="10">
        <f>LEN(M503)</f>
        <v>7</v>
      </c>
      <c r="S503" s="10">
        <f>MOD(R503,2)*4+FLOOR(R503/2,1)*6</f>
        <v>22</v>
      </c>
      <c r="T503" s="12">
        <f>S503+S504</f>
        <v>52</v>
      </c>
    </row>
    <row r="504" spans="1:20" ht="20" customHeight="1">
      <c r="A504" s="22"/>
      <c r="B504" s="6" t="str">
        <f>IF(H504&lt;=12,"有效","无效")</f>
        <v>有效</v>
      </c>
      <c r="C504" s="34" t="s">
        <v>1087</v>
      </c>
      <c r="D504" s="35"/>
      <c r="E504" s="35"/>
      <c r="F504" s="35"/>
      <c r="G504" s="36"/>
      <c r="H504" s="4">
        <f>LEN(C504)</f>
        <v>8</v>
      </c>
      <c r="I504" s="11">
        <f>MOD(H504,2)*4+FLOOR(H504/2,1)*6</f>
        <v>24</v>
      </c>
      <c r="J504" s="12" t="str">
        <f>IF(J503&lt;I502,"有效","无效")</f>
        <v>有效</v>
      </c>
      <c r="K504" s="20"/>
      <c r="L504" s="6" t="str">
        <f>IF(R504&lt;=12,"有效","无效")</f>
        <v>有效</v>
      </c>
      <c r="M504" s="31" t="s">
        <v>1084</v>
      </c>
      <c r="N504" s="32"/>
      <c r="O504" s="32"/>
      <c r="P504" s="32"/>
      <c r="Q504" s="33"/>
      <c r="R504" s="10">
        <f>LEN(M504)</f>
        <v>10</v>
      </c>
      <c r="S504" s="10">
        <f>MOD(R504,2)*4+FLOOR(R504/2,1)*6</f>
        <v>30</v>
      </c>
      <c r="T504" s="12" t="str">
        <f>IF(T503&lt;I502,"有效","无效")</f>
        <v>有效</v>
      </c>
    </row>
    <row r="505" spans="1:20" ht="20" customHeight="1">
      <c r="A505" s="22"/>
      <c r="B505" s="6" t="str">
        <f>IF(H505&lt;=12,"有效","无效")</f>
        <v>有效</v>
      </c>
      <c r="C505" s="34" t="s">
        <v>1081</v>
      </c>
      <c r="D505" s="35"/>
      <c r="E505" s="35"/>
      <c r="F505" s="35"/>
      <c r="G505" s="36"/>
      <c r="H505" s="4">
        <f>LEN(C505)</f>
        <v>12</v>
      </c>
      <c r="I505" s="11">
        <f>MOD(H505,2)*4+FLOOR(H505/2,1)*6</f>
        <v>36</v>
      </c>
      <c r="J505" s="12">
        <f>I505+I506</f>
        <v>54</v>
      </c>
      <c r="K505" s="20"/>
      <c r="L505" s="6" t="str">
        <f>IF(R505&lt;=12,"有效","无效")</f>
        <v>有效</v>
      </c>
      <c r="M505" s="31" t="s">
        <v>1085</v>
      </c>
      <c r="N505" s="32"/>
      <c r="O505" s="32"/>
      <c r="P505" s="32"/>
      <c r="Q505" s="33"/>
      <c r="R505" s="10">
        <f>LEN(M505)</f>
        <v>8</v>
      </c>
      <c r="S505" s="10">
        <f>MOD(R505,2)*4+FLOOR(R505/2,1)*6</f>
        <v>24</v>
      </c>
      <c r="T505" s="12">
        <f>S505+S506</f>
        <v>40</v>
      </c>
    </row>
    <row r="506" spans="1:20" ht="20" customHeight="1">
      <c r="A506" s="22"/>
      <c r="B506" s="6" t="str">
        <f>IF(H506&lt;=12,"有效","无效")</f>
        <v>有效</v>
      </c>
      <c r="C506" s="34" t="s">
        <v>1082</v>
      </c>
      <c r="D506" s="35"/>
      <c r="E506" s="35"/>
      <c r="F506" s="35"/>
      <c r="G506" s="36"/>
      <c r="H506" s="4">
        <f>LEN(C506)</f>
        <v>6</v>
      </c>
      <c r="I506" s="11">
        <f>MOD(H506,2)*4+FLOOR(H506/2,1)*6</f>
        <v>18</v>
      </c>
      <c r="J506" s="12" t="str">
        <f>IF(J505&lt;I502,"有效","无效")</f>
        <v>有效</v>
      </c>
      <c r="K506" s="20"/>
      <c r="L506" s="6" t="str">
        <f>IF(R506&lt;=12,"有效","无效")</f>
        <v>有效</v>
      </c>
      <c r="M506" s="31" t="s">
        <v>1086</v>
      </c>
      <c r="N506" s="32"/>
      <c r="O506" s="32"/>
      <c r="P506" s="32"/>
      <c r="Q506" s="33"/>
      <c r="R506" s="10">
        <f>LEN(M506)</f>
        <v>5</v>
      </c>
      <c r="S506" s="10">
        <f>MOD(R506,2)*4+FLOOR(R506/2,1)*6</f>
        <v>16</v>
      </c>
      <c r="T506" s="12" t="str">
        <f>IF(T505&lt;I502,"有效","无效")</f>
        <v>有效</v>
      </c>
    </row>
    <row r="507" spans="1:20" ht="20" customHeight="1">
      <c r="A507" s="22">
        <v>102</v>
      </c>
      <c r="B507" s="23" t="s">
        <v>159</v>
      </c>
      <c r="C507" s="24" t="s">
        <v>160</v>
      </c>
      <c r="D507" s="14">
        <f>LEN($B507)</f>
        <v>2</v>
      </c>
      <c r="E507" s="14">
        <f>LEN(C507)+3</f>
        <v>4</v>
      </c>
      <c r="F507" s="14">
        <f>MOD(D507,2)*4+FLOOR(D507/2,1)*6</f>
        <v>6</v>
      </c>
      <c r="G507" s="14">
        <f>MOD(E507,2)*4+FLOOR(E507/2,1)*6</f>
        <v>12</v>
      </c>
      <c r="H507" s="14">
        <v>12</v>
      </c>
      <c r="I507" s="14">
        <f>108-H507-G507-F507</f>
        <v>78</v>
      </c>
    </row>
    <row r="508" spans="1:20" ht="20" customHeight="1">
      <c r="A508" s="22"/>
      <c r="B508" s="6" t="str">
        <f>IF(H508&lt;=12,"有效","无效")</f>
        <v>有效</v>
      </c>
      <c r="C508" s="34" t="s">
        <v>1088</v>
      </c>
      <c r="D508" s="35"/>
      <c r="E508" s="35"/>
      <c r="F508" s="35"/>
      <c r="G508" s="36"/>
      <c r="H508" s="4">
        <f>LEN(C508)</f>
        <v>7</v>
      </c>
      <c r="I508" s="11">
        <f>MOD(H508,2)*4+FLOOR(H508/2,1)*6</f>
        <v>22</v>
      </c>
      <c r="J508" s="12">
        <f>I508+I509</f>
        <v>56</v>
      </c>
      <c r="K508" s="20"/>
      <c r="L508" s="13" t="str">
        <f>IF(R508&lt;=12,"有效","无效")</f>
        <v>有效</v>
      </c>
      <c r="M508" s="32" t="s">
        <v>1092</v>
      </c>
      <c r="N508" s="32"/>
      <c r="O508" s="32"/>
      <c r="P508" s="32"/>
      <c r="Q508" s="33"/>
      <c r="R508" s="10">
        <f>LEN(M508)</f>
        <v>10</v>
      </c>
      <c r="S508" s="10">
        <f>MOD(R508,2)*4+FLOOR(R508/2,1)*6</f>
        <v>30</v>
      </c>
      <c r="T508" s="12">
        <f>S508+S509</f>
        <v>66</v>
      </c>
    </row>
    <row r="509" spans="1:20" ht="20" customHeight="1">
      <c r="A509" s="22"/>
      <c r="B509" s="6" t="str">
        <f>IF(H509&lt;=12,"有效","无效")</f>
        <v>有效</v>
      </c>
      <c r="C509" s="34" t="s">
        <v>1089</v>
      </c>
      <c r="D509" s="35"/>
      <c r="E509" s="35"/>
      <c r="F509" s="35"/>
      <c r="G509" s="36"/>
      <c r="H509" s="4">
        <f>LEN(C509)</f>
        <v>11</v>
      </c>
      <c r="I509" s="11">
        <f>MOD(H509,2)*4+FLOOR(H509/2,1)*6</f>
        <v>34</v>
      </c>
      <c r="J509" s="12" t="str">
        <f>IF(J508&lt;I507,"有效","无效")</f>
        <v>有效</v>
      </c>
      <c r="K509" s="20"/>
      <c r="L509" s="6" t="str">
        <f>IF(R509&lt;=12,"有效","无效")</f>
        <v>有效</v>
      </c>
      <c r="M509" s="31" t="s">
        <v>1093</v>
      </c>
      <c r="N509" s="32"/>
      <c r="O509" s="32"/>
      <c r="P509" s="32"/>
      <c r="Q509" s="33"/>
      <c r="R509" s="10">
        <f>LEN(M509)</f>
        <v>12</v>
      </c>
      <c r="S509" s="10">
        <f>MOD(R509,2)*4+FLOOR(R509/2,1)*6</f>
        <v>36</v>
      </c>
      <c r="T509" s="12" t="str">
        <f>IF(T508&lt;I507,"有效","无效")</f>
        <v>有效</v>
      </c>
    </row>
    <row r="510" spans="1:20" ht="20" customHeight="1">
      <c r="A510" s="22"/>
      <c r="B510" s="6" t="str">
        <f>IF(H510&lt;=12,"有效","无效")</f>
        <v>有效</v>
      </c>
      <c r="C510" s="34" t="s">
        <v>1090</v>
      </c>
      <c r="D510" s="35"/>
      <c r="E510" s="35"/>
      <c r="F510" s="35"/>
      <c r="G510" s="36"/>
      <c r="H510" s="4">
        <f>LEN(C510)</f>
        <v>10</v>
      </c>
      <c r="I510" s="11">
        <f>MOD(H510,2)*4+FLOOR(H510/2,1)*6</f>
        <v>30</v>
      </c>
      <c r="J510" s="12">
        <f>I510+I511</f>
        <v>64</v>
      </c>
      <c r="K510" s="20"/>
      <c r="L510" s="6" t="str">
        <f>IF(R510&lt;=12,"有效","无效")</f>
        <v>有效</v>
      </c>
      <c r="M510" s="31" t="s">
        <v>1094</v>
      </c>
      <c r="N510" s="32"/>
      <c r="O510" s="32"/>
      <c r="P510" s="32"/>
      <c r="Q510" s="33"/>
      <c r="R510" s="10">
        <f>LEN(M510)</f>
        <v>6</v>
      </c>
      <c r="S510" s="10">
        <f>MOD(R510,2)*4+FLOOR(R510/2,1)*6</f>
        <v>18</v>
      </c>
      <c r="T510" s="12">
        <f>S510+S511</f>
        <v>40</v>
      </c>
    </row>
    <row r="511" spans="1:20" ht="20" customHeight="1">
      <c r="A511" s="22"/>
      <c r="B511" s="6" t="str">
        <f>IF(H511&lt;=12,"有效","无效")</f>
        <v>有效</v>
      </c>
      <c r="C511" s="34" t="s">
        <v>1091</v>
      </c>
      <c r="D511" s="35"/>
      <c r="E511" s="35"/>
      <c r="F511" s="35"/>
      <c r="G511" s="36"/>
      <c r="H511" s="4">
        <f>LEN(C511)</f>
        <v>11</v>
      </c>
      <c r="I511" s="11">
        <f>MOD(H511,2)*4+FLOOR(H511/2,1)*6</f>
        <v>34</v>
      </c>
      <c r="J511" s="12" t="str">
        <f>IF(J510&lt;I507,"有效","无效")</f>
        <v>有效</v>
      </c>
      <c r="K511" s="20"/>
      <c r="L511" s="6" t="str">
        <f>IF(R511&lt;=12,"有效","无效")</f>
        <v>有效</v>
      </c>
      <c r="M511" s="31" t="s">
        <v>1095</v>
      </c>
      <c r="N511" s="32"/>
      <c r="O511" s="32"/>
      <c r="P511" s="32"/>
      <c r="Q511" s="33"/>
      <c r="R511" s="10">
        <f>LEN(M511)</f>
        <v>7</v>
      </c>
      <c r="S511" s="10">
        <f>MOD(R511,2)*4+FLOOR(R511/2,1)*6</f>
        <v>22</v>
      </c>
      <c r="T511" s="12" t="str">
        <f>IF(T510&lt;I507,"有效","无效")</f>
        <v>有效</v>
      </c>
    </row>
    <row r="512" spans="1:20" ht="20" customHeight="1">
      <c r="A512" s="22">
        <v>103</v>
      </c>
      <c r="B512" s="23" t="s">
        <v>161</v>
      </c>
      <c r="C512" s="24" t="s">
        <v>162</v>
      </c>
      <c r="D512" s="14">
        <f>LEN($B512)</f>
        <v>3</v>
      </c>
      <c r="E512" s="14">
        <f>LEN(C512)+3</f>
        <v>5</v>
      </c>
      <c r="F512" s="14">
        <f>MOD(D512,2)*4+FLOOR(D512/2,1)*6</f>
        <v>10</v>
      </c>
      <c r="G512" s="14">
        <f>MOD(E512,2)*4+FLOOR(E512/2,1)*6</f>
        <v>16</v>
      </c>
      <c r="H512" s="14">
        <v>12</v>
      </c>
      <c r="I512" s="14">
        <f>108-H512-G512-F512</f>
        <v>70</v>
      </c>
    </row>
    <row r="513" spans="1:20" ht="20" customHeight="1">
      <c r="A513" s="22"/>
      <c r="B513" s="6" t="str">
        <f>IF(H513&lt;=12,"有效","无效")</f>
        <v>有效</v>
      </c>
      <c r="C513" s="31" t="s">
        <v>1096</v>
      </c>
      <c r="D513" s="32"/>
      <c r="E513" s="32"/>
      <c r="F513" s="32"/>
      <c r="G513" s="33"/>
      <c r="H513" s="4">
        <f>LEN(C513)</f>
        <v>6</v>
      </c>
      <c r="I513" s="11">
        <f>MOD(H513,2)*4+FLOOR(H513/2,1)*6</f>
        <v>18</v>
      </c>
      <c r="J513" s="12">
        <f>I513+I514</f>
        <v>48</v>
      </c>
      <c r="K513" s="20"/>
      <c r="L513" s="13" t="str">
        <f>IF(R513&lt;=12,"有效","无效")</f>
        <v>有效</v>
      </c>
      <c r="M513" s="35" t="s">
        <v>1102</v>
      </c>
      <c r="N513" s="35"/>
      <c r="O513" s="35"/>
      <c r="P513" s="35"/>
      <c r="Q513" s="36"/>
      <c r="R513" s="10">
        <f>LEN(M513)</f>
        <v>6</v>
      </c>
      <c r="S513" s="10">
        <f>MOD(R513,2)*4+FLOOR(R513/2,1)*6</f>
        <v>18</v>
      </c>
      <c r="T513" s="12">
        <f>S513+S514</f>
        <v>36</v>
      </c>
    </row>
    <row r="514" spans="1:20" ht="20" customHeight="1">
      <c r="A514" s="22"/>
      <c r="B514" s="6" t="str">
        <f>IF(H514&lt;=12,"有效","无效")</f>
        <v>有效</v>
      </c>
      <c r="C514" s="31" t="s">
        <v>1097</v>
      </c>
      <c r="D514" s="32"/>
      <c r="E514" s="32"/>
      <c r="F514" s="32"/>
      <c r="G514" s="33"/>
      <c r="H514" s="4">
        <f>LEN(C514)</f>
        <v>10</v>
      </c>
      <c r="I514" s="11">
        <f>MOD(H514,2)*4+FLOOR(H514/2,1)*6</f>
        <v>30</v>
      </c>
      <c r="J514" s="12" t="str">
        <f>IF(J513&lt;I512,"有效","无效")</f>
        <v>有效</v>
      </c>
      <c r="K514" s="20"/>
      <c r="L514" s="6" t="str">
        <f>IF(R514&lt;=12,"有效","无效")</f>
        <v>有效</v>
      </c>
      <c r="M514" s="34" t="s">
        <v>1103</v>
      </c>
      <c r="N514" s="35"/>
      <c r="O514" s="35"/>
      <c r="P514" s="35"/>
      <c r="Q514" s="36"/>
      <c r="R514" s="10">
        <f>LEN(M514)</f>
        <v>6</v>
      </c>
      <c r="S514" s="10">
        <f>MOD(R514,2)*4+FLOOR(R514/2,1)*6</f>
        <v>18</v>
      </c>
      <c r="T514" s="12" t="str">
        <f>IF(T513&lt;I512,"有效","无效")</f>
        <v>有效</v>
      </c>
    </row>
    <row r="515" spans="1:20" ht="20" customHeight="1">
      <c r="A515" s="22"/>
      <c r="B515" s="6" t="str">
        <f>IF(H515&lt;=12,"有效","无效")</f>
        <v>有效</v>
      </c>
      <c r="C515" s="31" t="s">
        <v>1098</v>
      </c>
      <c r="D515" s="32"/>
      <c r="E515" s="32"/>
      <c r="F515" s="32"/>
      <c r="G515" s="33"/>
      <c r="H515" s="4">
        <f>LEN(C515)</f>
        <v>8</v>
      </c>
      <c r="I515" s="11">
        <f>MOD(H515,2)*4+FLOOR(H515/2,1)*6</f>
        <v>24</v>
      </c>
      <c r="J515" s="12">
        <f>I515+I516</f>
        <v>58</v>
      </c>
      <c r="K515" s="20"/>
      <c r="L515" s="6" t="str">
        <f>IF(R515&lt;=12,"有效","无效")</f>
        <v>有效</v>
      </c>
      <c r="M515" s="34" t="s">
        <v>1101</v>
      </c>
      <c r="N515" s="35"/>
      <c r="O515" s="35"/>
      <c r="P515" s="35"/>
      <c r="Q515" s="36"/>
      <c r="R515" s="10">
        <f>LEN(M515)</f>
        <v>10</v>
      </c>
      <c r="S515" s="10">
        <f>MOD(R515,2)*4+FLOOR(R515/2,1)*6</f>
        <v>30</v>
      </c>
      <c r="T515" s="12">
        <f>S515+S516</f>
        <v>60</v>
      </c>
    </row>
    <row r="516" spans="1:20" ht="20" customHeight="1">
      <c r="A516" s="22"/>
      <c r="B516" s="6" t="str">
        <f>IF(H516&lt;=12,"有效","无效")</f>
        <v>有效</v>
      </c>
      <c r="C516" s="31" t="s">
        <v>1099</v>
      </c>
      <c r="D516" s="32"/>
      <c r="E516" s="32"/>
      <c r="F516" s="32"/>
      <c r="G516" s="33"/>
      <c r="H516" s="4">
        <f>LEN(C516)</f>
        <v>11</v>
      </c>
      <c r="I516" s="11">
        <f>MOD(H516,2)*4+FLOOR(H516/2,1)*6</f>
        <v>34</v>
      </c>
      <c r="J516" s="12" t="str">
        <f>IF(J515&lt;I512,"有效","无效")</f>
        <v>有效</v>
      </c>
      <c r="K516" s="20"/>
      <c r="L516" s="6" t="str">
        <f>IF(R516&lt;=12,"有效","无效")</f>
        <v>有效</v>
      </c>
      <c r="M516" s="34" t="s">
        <v>1100</v>
      </c>
      <c r="N516" s="35"/>
      <c r="O516" s="35"/>
      <c r="P516" s="35"/>
      <c r="Q516" s="36"/>
      <c r="R516" s="10">
        <f>LEN(M516)</f>
        <v>10</v>
      </c>
      <c r="S516" s="10">
        <f>MOD(R516,2)*4+FLOOR(R516/2,1)*6</f>
        <v>30</v>
      </c>
      <c r="T516" s="12" t="str">
        <f>IF(T515&lt;I512,"有效","无效")</f>
        <v>有效</v>
      </c>
    </row>
    <row r="517" spans="1:20" ht="20" customHeight="1">
      <c r="A517" s="22">
        <v>104</v>
      </c>
      <c r="B517" s="23" t="s">
        <v>163</v>
      </c>
      <c r="C517" s="24" t="s">
        <v>164</v>
      </c>
      <c r="D517" s="14">
        <f>LEN($B517)</f>
        <v>4</v>
      </c>
      <c r="E517" s="14">
        <f>LEN(C517)+3</f>
        <v>5</v>
      </c>
      <c r="F517" s="14">
        <f>MOD(D517,2)*4+FLOOR(D517/2,1)*6</f>
        <v>12</v>
      </c>
      <c r="G517" s="14">
        <f>MOD(E517,2)*4+FLOOR(E517/2,1)*6</f>
        <v>16</v>
      </c>
      <c r="H517" s="14">
        <v>12</v>
      </c>
      <c r="I517" s="14">
        <f>108-H517-G517-F517</f>
        <v>68</v>
      </c>
    </row>
    <row r="518" spans="1:20" ht="20" customHeight="1">
      <c r="A518" s="22"/>
      <c r="B518" s="6" t="str">
        <f>IF(H518&lt;=12,"有效","无效")</f>
        <v>有效</v>
      </c>
      <c r="C518" s="34" t="s">
        <v>1104</v>
      </c>
      <c r="D518" s="35"/>
      <c r="E518" s="35"/>
      <c r="F518" s="35"/>
      <c r="G518" s="36"/>
      <c r="H518" s="4">
        <f>LEN(C518)</f>
        <v>11</v>
      </c>
      <c r="I518" s="11">
        <f>MOD(H518,2)*4+FLOOR(H518/2,1)*6</f>
        <v>34</v>
      </c>
      <c r="J518" s="12">
        <f>I518+I519</f>
        <v>62</v>
      </c>
      <c r="K518" s="20"/>
      <c r="L518" s="13" t="str">
        <f>IF(R518&lt;=12,"有效","无效")</f>
        <v>有效</v>
      </c>
      <c r="M518" s="32" t="s">
        <v>1108</v>
      </c>
      <c r="N518" s="32"/>
      <c r="O518" s="32"/>
      <c r="P518" s="32"/>
      <c r="Q518" s="33"/>
      <c r="R518" s="10">
        <f>LEN(M518)</f>
        <v>9</v>
      </c>
      <c r="S518" s="10">
        <f>MOD(R518,2)*4+FLOOR(R518/2,1)*6</f>
        <v>28</v>
      </c>
      <c r="T518" s="12">
        <f>S518+S519</f>
        <v>62</v>
      </c>
    </row>
    <row r="519" spans="1:20" ht="20" customHeight="1">
      <c r="A519" s="22"/>
      <c r="B519" s="6" t="str">
        <f>IF(H519&lt;=12,"有效","无效")</f>
        <v>有效</v>
      </c>
      <c r="C519" s="34" t="s">
        <v>1105</v>
      </c>
      <c r="D519" s="35"/>
      <c r="E519" s="35"/>
      <c r="F519" s="35"/>
      <c r="G519" s="36"/>
      <c r="H519" s="4">
        <f>LEN(C519)</f>
        <v>9</v>
      </c>
      <c r="I519" s="11">
        <f>MOD(H519,2)*4+FLOOR(H519/2,1)*6</f>
        <v>28</v>
      </c>
      <c r="J519" s="12" t="str">
        <f>IF(J518&lt;I517,"有效","无效")</f>
        <v>有效</v>
      </c>
      <c r="K519" s="20"/>
      <c r="L519" s="6" t="str">
        <f>IF(R519&lt;=12,"有效","无效")</f>
        <v>有效</v>
      </c>
      <c r="M519" s="31" t="s">
        <v>1109</v>
      </c>
      <c r="N519" s="32"/>
      <c r="O519" s="32"/>
      <c r="P519" s="32"/>
      <c r="Q519" s="33"/>
      <c r="R519" s="10">
        <f>LEN(M519)</f>
        <v>11</v>
      </c>
      <c r="S519" s="10">
        <f>MOD(R519,2)*4+FLOOR(R519/2,1)*6</f>
        <v>34</v>
      </c>
      <c r="T519" s="12" t="str">
        <f>IF(T518&lt;I517,"有效","无效")</f>
        <v>有效</v>
      </c>
    </row>
    <row r="520" spans="1:20" ht="20" customHeight="1">
      <c r="A520" s="22"/>
      <c r="B520" s="6" t="str">
        <f>IF(H520&lt;=12,"有效","无效")</f>
        <v>有效</v>
      </c>
      <c r="C520" s="34" t="s">
        <v>1106</v>
      </c>
      <c r="D520" s="35"/>
      <c r="E520" s="35"/>
      <c r="F520" s="35"/>
      <c r="G520" s="36"/>
      <c r="H520" s="4">
        <f>LEN(C520)</f>
        <v>7</v>
      </c>
      <c r="I520" s="11">
        <f>MOD(H520,2)*4+FLOOR(H520/2,1)*6</f>
        <v>22</v>
      </c>
      <c r="J520" s="12">
        <f>I520+I521</f>
        <v>40</v>
      </c>
      <c r="K520" s="20"/>
      <c r="L520" s="6" t="str">
        <f>IF(R520&lt;=12,"有效","无效")</f>
        <v>有效</v>
      </c>
      <c r="M520" s="31" t="s">
        <v>1110</v>
      </c>
      <c r="N520" s="32"/>
      <c r="O520" s="32"/>
      <c r="P520" s="32"/>
      <c r="Q520" s="33"/>
      <c r="R520" s="10">
        <f>LEN(M520)</f>
        <v>6</v>
      </c>
      <c r="S520" s="10">
        <f>MOD(R520,2)*4+FLOOR(R520/2,1)*6</f>
        <v>18</v>
      </c>
      <c r="T520" s="12">
        <f>S520+S521</f>
        <v>40</v>
      </c>
    </row>
    <row r="521" spans="1:20" ht="20" customHeight="1">
      <c r="A521" s="22"/>
      <c r="B521" s="6" t="str">
        <f>IF(H521&lt;=12,"有效","无效")</f>
        <v>有效</v>
      </c>
      <c r="C521" s="34" t="s">
        <v>1107</v>
      </c>
      <c r="D521" s="35"/>
      <c r="E521" s="35"/>
      <c r="F521" s="35"/>
      <c r="G521" s="36"/>
      <c r="H521" s="4">
        <f>LEN(C521)</f>
        <v>6</v>
      </c>
      <c r="I521" s="11">
        <f>MOD(H521,2)*4+FLOOR(H521/2,1)*6</f>
        <v>18</v>
      </c>
      <c r="J521" s="12" t="str">
        <f>IF(J520&lt;I517,"有效","无效")</f>
        <v>有效</v>
      </c>
      <c r="K521" s="20"/>
      <c r="L521" s="6" t="str">
        <f>IF(R521&lt;=12,"有效","无效")</f>
        <v>有效</v>
      </c>
      <c r="M521" s="31" t="s">
        <v>1111</v>
      </c>
      <c r="N521" s="32"/>
      <c r="O521" s="32"/>
      <c r="P521" s="32"/>
      <c r="Q521" s="33"/>
      <c r="R521" s="10">
        <f>LEN(M521)</f>
        <v>7</v>
      </c>
      <c r="S521" s="10">
        <f>MOD(R521,2)*4+FLOOR(R521/2,1)*6</f>
        <v>22</v>
      </c>
      <c r="T521" s="12" t="str">
        <f>IF(T520&lt;I517,"有效","无效")</f>
        <v>有效</v>
      </c>
    </row>
    <row r="522" spans="1:20" ht="20" customHeight="1">
      <c r="A522" s="22">
        <v>105</v>
      </c>
      <c r="B522" s="23" t="s">
        <v>165</v>
      </c>
      <c r="C522" s="24" t="s">
        <v>166</v>
      </c>
      <c r="D522" s="14">
        <f>LEN($B522)</f>
        <v>4</v>
      </c>
      <c r="E522" s="14">
        <f>LEN(C522)+3</f>
        <v>5</v>
      </c>
      <c r="F522" s="14">
        <f>MOD(D522,2)*4+FLOOR(D522/2,1)*6</f>
        <v>12</v>
      </c>
      <c r="G522" s="14">
        <f>MOD(E522,2)*4+FLOOR(E522/2,1)*6</f>
        <v>16</v>
      </c>
      <c r="H522" s="14">
        <v>12</v>
      </c>
      <c r="I522" s="14">
        <f>108-H522-G522-F522</f>
        <v>68</v>
      </c>
    </row>
    <row r="523" spans="1:20" ht="20" customHeight="1">
      <c r="A523" s="22"/>
      <c r="B523" s="6" t="str">
        <f>IF(H523&lt;=12,"有效","无效")</f>
        <v>有效</v>
      </c>
      <c r="C523" s="34" t="s">
        <v>1112</v>
      </c>
      <c r="D523" s="35"/>
      <c r="E523" s="35"/>
      <c r="F523" s="35"/>
      <c r="G523" s="36"/>
      <c r="H523" s="4">
        <f>LEN(C523)</f>
        <v>6</v>
      </c>
      <c r="I523" s="11">
        <f>MOD(H523,2)*4+FLOOR(H523/2,1)*6</f>
        <v>18</v>
      </c>
      <c r="J523" s="12">
        <f>I523+I524</f>
        <v>46</v>
      </c>
      <c r="K523" s="20"/>
      <c r="L523" s="13" t="str">
        <f>IF(R523&lt;=12,"有效","无效")</f>
        <v>有效</v>
      </c>
      <c r="M523" s="35" t="s">
        <v>1116</v>
      </c>
      <c r="N523" s="35"/>
      <c r="O523" s="35"/>
      <c r="P523" s="35"/>
      <c r="Q523" s="36"/>
      <c r="R523" s="10">
        <f>LEN(M523)</f>
        <v>11</v>
      </c>
      <c r="S523" s="10">
        <f>MOD(R523,2)*4+FLOOR(R523/2,1)*6</f>
        <v>34</v>
      </c>
      <c r="T523" s="12">
        <f>S523+S524</f>
        <v>46</v>
      </c>
    </row>
    <row r="524" spans="1:20" ht="20" customHeight="1">
      <c r="A524" s="22"/>
      <c r="B524" s="6" t="str">
        <f>IF(H524&lt;=12,"有效","无效")</f>
        <v>有效</v>
      </c>
      <c r="C524" s="34" t="s">
        <v>1113</v>
      </c>
      <c r="D524" s="35"/>
      <c r="E524" s="35"/>
      <c r="F524" s="35"/>
      <c r="G524" s="36"/>
      <c r="H524" s="4">
        <f>LEN(C524)</f>
        <v>9</v>
      </c>
      <c r="I524" s="11">
        <f>MOD(H524,2)*4+FLOOR(H524/2,1)*6</f>
        <v>28</v>
      </c>
      <c r="J524" s="12" t="str">
        <f>IF(J523&lt;I522,"有效","无效")</f>
        <v>有效</v>
      </c>
      <c r="K524" s="20"/>
      <c r="L524" s="6" t="str">
        <f>IF(R524&lt;=12,"有效","无效")</f>
        <v>有效</v>
      </c>
      <c r="M524" s="34" t="s">
        <v>1117</v>
      </c>
      <c r="N524" s="35"/>
      <c r="O524" s="35"/>
      <c r="P524" s="35"/>
      <c r="Q524" s="36"/>
      <c r="R524" s="10">
        <f>LEN(M524)</f>
        <v>4</v>
      </c>
      <c r="S524" s="10">
        <f>MOD(R524,2)*4+FLOOR(R524/2,1)*6</f>
        <v>12</v>
      </c>
      <c r="T524" s="12" t="str">
        <f>IF(T523&lt;I522,"有效","无效")</f>
        <v>有效</v>
      </c>
    </row>
    <row r="525" spans="1:20" ht="20" customHeight="1">
      <c r="A525" s="22"/>
      <c r="B525" s="6" t="str">
        <f>IF(H525&lt;=12,"有效","无效")</f>
        <v>有效</v>
      </c>
      <c r="C525" s="34" t="s">
        <v>1114</v>
      </c>
      <c r="D525" s="35"/>
      <c r="E525" s="35"/>
      <c r="F525" s="35"/>
      <c r="G525" s="36"/>
      <c r="H525" s="4">
        <f>LEN(C525)</f>
        <v>8</v>
      </c>
      <c r="I525" s="11">
        <f>MOD(H525,2)*4+FLOOR(H525/2,1)*6</f>
        <v>24</v>
      </c>
      <c r="J525" s="12">
        <f>I525+I526</f>
        <v>54</v>
      </c>
      <c r="K525" s="20"/>
      <c r="L525" s="6" t="str">
        <f>IF(R525&lt;=12,"有效","无效")</f>
        <v>有效</v>
      </c>
      <c r="M525" s="34" t="s">
        <v>1118</v>
      </c>
      <c r="N525" s="35"/>
      <c r="O525" s="35"/>
      <c r="P525" s="35"/>
      <c r="Q525" s="36"/>
      <c r="R525" s="10">
        <f>LEN(M525)</f>
        <v>6</v>
      </c>
      <c r="S525" s="10">
        <f>MOD(R525,2)*4+FLOOR(R525/2,1)*6</f>
        <v>18</v>
      </c>
      <c r="T525" s="12">
        <f>S525+S526</f>
        <v>48</v>
      </c>
    </row>
    <row r="526" spans="1:20" ht="20" customHeight="1">
      <c r="A526" s="22"/>
      <c r="B526" s="6" t="str">
        <f>IF(H526&lt;=12,"有效","无效")</f>
        <v>有效</v>
      </c>
      <c r="C526" s="34" t="s">
        <v>1115</v>
      </c>
      <c r="D526" s="35"/>
      <c r="E526" s="35"/>
      <c r="F526" s="35"/>
      <c r="G526" s="36"/>
      <c r="H526" s="4">
        <f>LEN(C526)</f>
        <v>10</v>
      </c>
      <c r="I526" s="11">
        <f>MOD(H526,2)*4+FLOOR(H526/2,1)*6</f>
        <v>30</v>
      </c>
      <c r="J526" s="12" t="str">
        <f>IF(J525&lt;I522,"有效","无效")</f>
        <v>有效</v>
      </c>
      <c r="K526" s="20"/>
      <c r="L526" s="6" t="str">
        <f>IF(R526&lt;=12,"有效","无效")</f>
        <v>有效</v>
      </c>
      <c r="M526" s="34" t="s">
        <v>1119</v>
      </c>
      <c r="N526" s="35"/>
      <c r="O526" s="35"/>
      <c r="P526" s="35"/>
      <c r="Q526" s="36"/>
      <c r="R526" s="10">
        <f>LEN(M526)</f>
        <v>10</v>
      </c>
      <c r="S526" s="10">
        <f>MOD(R526,2)*4+FLOOR(R526/2,1)*6</f>
        <v>30</v>
      </c>
      <c r="T526" s="12" t="str">
        <f>IF(T525&lt;I522,"有效","无效")</f>
        <v>有效</v>
      </c>
    </row>
    <row r="527" spans="1:20" ht="20" customHeight="1">
      <c r="A527" s="22">
        <v>106</v>
      </c>
      <c r="B527" s="23" t="s">
        <v>167</v>
      </c>
      <c r="C527" s="24" t="s">
        <v>168</v>
      </c>
      <c r="D527" s="14">
        <f>LEN($B527)</f>
        <v>3</v>
      </c>
      <c r="E527" s="14">
        <f>LEN(C527)+3</f>
        <v>5</v>
      </c>
      <c r="F527" s="14">
        <f>MOD(D527,2)*4+FLOOR(D527/2,1)*6</f>
        <v>10</v>
      </c>
      <c r="G527" s="14">
        <f>MOD(E527,2)*4+FLOOR(E527/2,1)*6</f>
        <v>16</v>
      </c>
      <c r="H527" s="14">
        <v>12</v>
      </c>
      <c r="I527" s="14">
        <f>108-H527-G527-F527</f>
        <v>70</v>
      </c>
    </row>
    <row r="528" spans="1:20" ht="20" customHeight="1">
      <c r="A528" s="22"/>
      <c r="B528" s="6" t="str">
        <f>IF(H528&lt;=12,"有效","无效")</f>
        <v>有效</v>
      </c>
      <c r="C528" s="31" t="s">
        <v>1120</v>
      </c>
      <c r="D528" s="32"/>
      <c r="E528" s="32"/>
      <c r="F528" s="32"/>
      <c r="G528" s="33"/>
      <c r="H528" s="4">
        <f>LEN(C528)</f>
        <v>9</v>
      </c>
      <c r="I528" s="11">
        <f>MOD(H528,2)*4+FLOOR(H528/2,1)*6</f>
        <v>28</v>
      </c>
      <c r="J528" s="12">
        <f>I528+I529</f>
        <v>52</v>
      </c>
      <c r="K528" s="20"/>
      <c r="L528" s="13" t="str">
        <f>IF(R528&lt;=12,"有效","无效")</f>
        <v>有效</v>
      </c>
      <c r="M528" s="32" t="s">
        <v>1124</v>
      </c>
      <c r="N528" s="32"/>
      <c r="O528" s="32"/>
      <c r="P528" s="32"/>
      <c r="Q528" s="33"/>
      <c r="R528" s="10">
        <f>LEN(M528)</f>
        <v>10</v>
      </c>
      <c r="S528" s="10">
        <f>MOD(R528,2)*4+FLOOR(R528/2,1)*6</f>
        <v>30</v>
      </c>
      <c r="T528" s="12">
        <f>S528+S529</f>
        <v>58</v>
      </c>
    </row>
    <row r="529" spans="1:20" ht="20" customHeight="1">
      <c r="A529" s="22"/>
      <c r="B529" s="6" t="str">
        <f>IF(H529&lt;=12,"有效","无效")</f>
        <v>有效</v>
      </c>
      <c r="C529" s="31" t="s">
        <v>1121</v>
      </c>
      <c r="D529" s="32"/>
      <c r="E529" s="32"/>
      <c r="F529" s="32"/>
      <c r="G529" s="33"/>
      <c r="H529" s="4">
        <f>LEN(C529)</f>
        <v>8</v>
      </c>
      <c r="I529" s="11">
        <f>MOD(H529,2)*4+FLOOR(H529/2,1)*6</f>
        <v>24</v>
      </c>
      <c r="J529" s="12" t="str">
        <f>IF(J528&lt;I527,"有效","无效")</f>
        <v>有效</v>
      </c>
      <c r="K529" s="20"/>
      <c r="L529" s="6" t="str">
        <f>IF(R529&lt;=12,"有效","无效")</f>
        <v>有效</v>
      </c>
      <c r="M529" s="31" t="s">
        <v>1125</v>
      </c>
      <c r="N529" s="32"/>
      <c r="O529" s="32"/>
      <c r="P529" s="32"/>
      <c r="Q529" s="33"/>
      <c r="R529" s="10">
        <f>LEN(M529)</f>
        <v>9</v>
      </c>
      <c r="S529" s="10">
        <f>MOD(R529,2)*4+FLOOR(R529/2,1)*6</f>
        <v>28</v>
      </c>
      <c r="T529" s="12" t="str">
        <f>IF(T528&lt;I527,"有效","无效")</f>
        <v>有效</v>
      </c>
    </row>
    <row r="530" spans="1:20" ht="20" customHeight="1">
      <c r="A530" s="22"/>
      <c r="B530" s="6" t="str">
        <f>IF(H530&lt;=12,"有效","无效")</f>
        <v>有效</v>
      </c>
      <c r="C530" s="31" t="s">
        <v>1122</v>
      </c>
      <c r="D530" s="32"/>
      <c r="E530" s="32"/>
      <c r="F530" s="32"/>
      <c r="G530" s="33"/>
      <c r="H530" s="4">
        <f>LEN(C530)</f>
        <v>10</v>
      </c>
      <c r="I530" s="11">
        <f>MOD(H530,2)*4+FLOOR(H530/2,1)*6</f>
        <v>30</v>
      </c>
      <c r="J530" s="12">
        <f>I530+I531</f>
        <v>46</v>
      </c>
      <c r="K530" s="20"/>
      <c r="L530" s="6" t="str">
        <f>IF(R530&lt;=12,"有效","无效")</f>
        <v>有效</v>
      </c>
      <c r="M530" s="31" t="s">
        <v>1126</v>
      </c>
      <c r="N530" s="32"/>
      <c r="O530" s="32"/>
      <c r="P530" s="32"/>
      <c r="Q530" s="33"/>
      <c r="R530" s="10">
        <f>LEN(M530)</f>
        <v>7</v>
      </c>
      <c r="S530" s="10">
        <f>MOD(R530,2)*4+FLOOR(R530/2,1)*6</f>
        <v>22</v>
      </c>
      <c r="T530" s="12">
        <f>S530+S531</f>
        <v>38</v>
      </c>
    </row>
    <row r="531" spans="1:20" ht="20" customHeight="1">
      <c r="A531" s="22"/>
      <c r="B531" s="6" t="str">
        <f>IF(H531&lt;=12,"有效","无效")</f>
        <v>有效</v>
      </c>
      <c r="C531" s="31" t="s">
        <v>1123</v>
      </c>
      <c r="D531" s="32"/>
      <c r="E531" s="32"/>
      <c r="F531" s="32"/>
      <c r="G531" s="33"/>
      <c r="H531" s="4">
        <f>LEN(C531)</f>
        <v>5</v>
      </c>
      <c r="I531" s="11">
        <f>MOD(H531,2)*4+FLOOR(H531/2,1)*6</f>
        <v>16</v>
      </c>
      <c r="J531" s="12" t="str">
        <f>IF(J530&lt;I527,"有效","无效")</f>
        <v>有效</v>
      </c>
      <c r="K531" s="20"/>
      <c r="L531" s="6" t="str">
        <f>IF(R531&lt;=12,"有效","无效")</f>
        <v>有效</v>
      </c>
      <c r="M531" s="31" t="s">
        <v>1127</v>
      </c>
      <c r="N531" s="32"/>
      <c r="O531" s="32"/>
      <c r="P531" s="32"/>
      <c r="Q531" s="33"/>
      <c r="R531" s="10">
        <f>LEN(M531)</f>
        <v>5</v>
      </c>
      <c r="S531" s="10">
        <f>MOD(R531,2)*4+FLOOR(R531/2,1)*6</f>
        <v>16</v>
      </c>
      <c r="T531" s="12" t="str">
        <f>IF(T530&lt;I527,"有效","无效")</f>
        <v>有效</v>
      </c>
    </row>
    <row r="532" spans="1:20" ht="20" customHeight="1">
      <c r="A532" s="22">
        <v>107</v>
      </c>
      <c r="B532" s="23" t="s">
        <v>169</v>
      </c>
      <c r="C532" s="24" t="s">
        <v>170</v>
      </c>
      <c r="D532" s="14">
        <f>LEN($B532)</f>
        <v>3</v>
      </c>
      <c r="E532" s="14">
        <f>LEN(C532)+3</f>
        <v>5</v>
      </c>
      <c r="F532" s="14">
        <f>MOD(D532,2)*4+FLOOR(D532/2,1)*6</f>
        <v>10</v>
      </c>
      <c r="G532" s="14">
        <f>MOD(E532,2)*4+FLOOR(E532/2,1)*6</f>
        <v>16</v>
      </c>
      <c r="H532" s="14">
        <v>12</v>
      </c>
      <c r="I532" s="14">
        <f>108-H532-G532-F532</f>
        <v>70</v>
      </c>
    </row>
    <row r="533" spans="1:20" ht="20" customHeight="1">
      <c r="A533" s="22"/>
      <c r="B533" s="6" t="str">
        <f>IF(H533&lt;=12,"有效","无效")</f>
        <v>有效</v>
      </c>
      <c r="C533" s="31" t="s">
        <v>1128</v>
      </c>
      <c r="D533" s="32"/>
      <c r="E533" s="32"/>
      <c r="F533" s="32"/>
      <c r="G533" s="33"/>
      <c r="H533" s="4">
        <f>LEN(C533)</f>
        <v>5</v>
      </c>
      <c r="I533" s="11">
        <f>MOD(H533,2)*4+FLOOR(H533/2,1)*6</f>
        <v>16</v>
      </c>
      <c r="J533" s="12">
        <f>I533+I534</f>
        <v>40</v>
      </c>
      <c r="K533" s="20"/>
      <c r="L533" s="13" t="str">
        <f>IF(R533&lt;=12,"有效","无效")</f>
        <v>有效</v>
      </c>
      <c r="M533" s="32" t="s">
        <v>1132</v>
      </c>
      <c r="N533" s="32"/>
      <c r="O533" s="32"/>
      <c r="P533" s="32"/>
      <c r="Q533" s="33"/>
      <c r="R533" s="10">
        <f>LEN(M533)</f>
        <v>11</v>
      </c>
      <c r="S533" s="10">
        <f>MOD(R533,2)*4+FLOOR(R533/2,1)*6</f>
        <v>34</v>
      </c>
      <c r="T533" s="12">
        <f>S533+S534</f>
        <v>64</v>
      </c>
    </row>
    <row r="534" spans="1:20" ht="20" customHeight="1">
      <c r="A534" s="22"/>
      <c r="B534" s="6" t="str">
        <f>IF(H534&lt;=12,"有效","无效")</f>
        <v>有效</v>
      </c>
      <c r="C534" s="31" t="s">
        <v>1129</v>
      </c>
      <c r="D534" s="32"/>
      <c r="E534" s="32"/>
      <c r="F534" s="32"/>
      <c r="G534" s="33"/>
      <c r="H534" s="4">
        <f>LEN(C534)</f>
        <v>8</v>
      </c>
      <c r="I534" s="11">
        <f>MOD(H534,2)*4+FLOOR(H534/2,1)*6</f>
        <v>24</v>
      </c>
      <c r="J534" s="12" t="str">
        <f>IF(J533&lt;I532,"有效","无效")</f>
        <v>有效</v>
      </c>
      <c r="K534" s="20"/>
      <c r="L534" s="6" t="str">
        <f>IF(R534&lt;=12,"有效","无效")</f>
        <v>有效</v>
      </c>
      <c r="M534" s="31" t="s">
        <v>1133</v>
      </c>
      <c r="N534" s="32"/>
      <c r="O534" s="32"/>
      <c r="P534" s="32"/>
      <c r="Q534" s="33"/>
      <c r="R534" s="10">
        <f>LEN(M534)</f>
        <v>10</v>
      </c>
      <c r="S534" s="10">
        <f>MOD(R534,2)*4+FLOOR(R534/2,1)*6</f>
        <v>30</v>
      </c>
      <c r="T534" s="12" t="str">
        <f>IF(T533&lt;I532,"有效","无效")</f>
        <v>有效</v>
      </c>
    </row>
    <row r="535" spans="1:20" ht="20" customHeight="1">
      <c r="A535" s="22"/>
      <c r="B535" s="6" t="str">
        <f>IF(H535&lt;=12,"有效","无效")</f>
        <v>有效</v>
      </c>
      <c r="C535" s="31" t="s">
        <v>1130</v>
      </c>
      <c r="D535" s="32"/>
      <c r="E535" s="32"/>
      <c r="F535" s="32"/>
      <c r="G535" s="33"/>
      <c r="H535" s="4">
        <f>LEN(C535)</f>
        <v>8</v>
      </c>
      <c r="I535" s="11">
        <f>MOD(H535,2)*4+FLOOR(H535/2,1)*6</f>
        <v>24</v>
      </c>
      <c r="J535" s="12">
        <f>I535+I536</f>
        <v>58</v>
      </c>
      <c r="K535" s="20"/>
      <c r="L535" s="6" t="str">
        <f>IF(R535&lt;=12,"有效","无效")</f>
        <v>有效</v>
      </c>
      <c r="M535" s="31" t="s">
        <v>1134</v>
      </c>
      <c r="N535" s="32"/>
      <c r="O535" s="32"/>
      <c r="P535" s="32"/>
      <c r="Q535" s="33"/>
      <c r="R535" s="10">
        <f>LEN(M535)</f>
        <v>6</v>
      </c>
      <c r="S535" s="10">
        <f>MOD(R535,2)*4+FLOOR(R535/2,1)*6</f>
        <v>18</v>
      </c>
      <c r="T535" s="12">
        <f>S535+S536</f>
        <v>40</v>
      </c>
    </row>
    <row r="536" spans="1:20" ht="20" customHeight="1">
      <c r="A536" s="22"/>
      <c r="B536" s="6" t="str">
        <f>IF(H536&lt;=12,"有效","无效")</f>
        <v>有效</v>
      </c>
      <c r="C536" s="31" t="s">
        <v>1131</v>
      </c>
      <c r="D536" s="32"/>
      <c r="E536" s="32"/>
      <c r="F536" s="32"/>
      <c r="G536" s="33"/>
      <c r="H536" s="4">
        <f>LEN(C536)</f>
        <v>11</v>
      </c>
      <c r="I536" s="11">
        <f>MOD(H536,2)*4+FLOOR(H536/2,1)*6</f>
        <v>34</v>
      </c>
      <c r="J536" s="12" t="str">
        <f>IF(J535&lt;I532,"有效","无效")</f>
        <v>有效</v>
      </c>
      <c r="K536" s="20"/>
      <c r="L536" s="6" t="str">
        <f>IF(R536&lt;=12,"有效","无效")</f>
        <v>有效</v>
      </c>
      <c r="M536" s="31" t="s">
        <v>1135</v>
      </c>
      <c r="N536" s="32"/>
      <c r="O536" s="32"/>
      <c r="P536" s="32"/>
      <c r="Q536" s="33"/>
      <c r="R536" s="10">
        <f>LEN(M536)</f>
        <v>7</v>
      </c>
      <c r="S536" s="10">
        <f>MOD(R536,2)*4+FLOOR(R536/2,1)*6</f>
        <v>22</v>
      </c>
      <c r="T536" s="12" t="str">
        <f>IF(T535&lt;I532,"有效","无效")</f>
        <v>有效</v>
      </c>
    </row>
    <row r="537" spans="1:20" ht="20" customHeight="1">
      <c r="A537" s="22">
        <v>108</v>
      </c>
      <c r="B537" s="23" t="s">
        <v>171</v>
      </c>
      <c r="C537" s="24" t="s">
        <v>172</v>
      </c>
      <c r="D537" s="14">
        <f>LEN($B537)</f>
        <v>3</v>
      </c>
      <c r="E537" s="14">
        <f>LEN(C537)+3</f>
        <v>5</v>
      </c>
      <c r="F537" s="14">
        <f>MOD(D537,2)*4+FLOOR(D537/2,1)*6</f>
        <v>10</v>
      </c>
      <c r="G537" s="14">
        <f>MOD(E537,2)*4+FLOOR(E537/2,1)*6</f>
        <v>16</v>
      </c>
      <c r="H537" s="14">
        <v>12</v>
      </c>
      <c r="I537" s="14">
        <f>108-H537-G537-F537</f>
        <v>70</v>
      </c>
    </row>
    <row r="538" spans="1:20" ht="20" customHeight="1">
      <c r="A538" s="22"/>
      <c r="B538" s="6" t="str">
        <f>IF(H538&lt;=12,"有效","无效")</f>
        <v>有效</v>
      </c>
      <c r="C538" s="34" t="s">
        <v>1136</v>
      </c>
      <c r="D538" s="35"/>
      <c r="E538" s="35"/>
      <c r="F538" s="35"/>
      <c r="G538" s="36"/>
      <c r="H538" s="4">
        <f>LEN(C538)</f>
        <v>7</v>
      </c>
      <c r="I538" s="11">
        <f>MOD(H538,2)*4+FLOOR(H538/2,1)*6</f>
        <v>22</v>
      </c>
      <c r="J538" s="12">
        <f>I538+I539</f>
        <v>50</v>
      </c>
      <c r="K538" s="20"/>
      <c r="L538" s="13" t="str">
        <f>IF(R538&lt;=12,"有效","无效")</f>
        <v>有效</v>
      </c>
      <c r="M538" s="32" t="s">
        <v>1140</v>
      </c>
      <c r="N538" s="32"/>
      <c r="O538" s="32"/>
      <c r="P538" s="32"/>
      <c r="Q538" s="33"/>
      <c r="R538" s="10">
        <f>LEN(M538)</f>
        <v>6</v>
      </c>
      <c r="S538" s="10">
        <f>MOD(R538,2)*4+FLOOR(R538/2,1)*6</f>
        <v>18</v>
      </c>
      <c r="T538" s="12">
        <f>S538+S539</f>
        <v>48</v>
      </c>
    </row>
    <row r="539" spans="1:20" ht="20" customHeight="1">
      <c r="A539" s="22"/>
      <c r="B539" s="6" t="str">
        <f>IF(H539&lt;=12,"有效","无效")</f>
        <v>有效</v>
      </c>
      <c r="C539" s="34" t="s">
        <v>1137</v>
      </c>
      <c r="D539" s="35"/>
      <c r="E539" s="35"/>
      <c r="F539" s="35"/>
      <c r="G539" s="36"/>
      <c r="H539" s="4">
        <f>LEN(C539)</f>
        <v>9</v>
      </c>
      <c r="I539" s="11">
        <f>MOD(H539,2)*4+FLOOR(H539/2,1)*6</f>
        <v>28</v>
      </c>
      <c r="J539" s="12" t="str">
        <f>IF(J538&lt;I537,"有效","无效")</f>
        <v>有效</v>
      </c>
      <c r="K539" s="20"/>
      <c r="L539" s="6" t="str">
        <f>IF(R539&lt;=12,"有效","无效")</f>
        <v>有效</v>
      </c>
      <c r="M539" s="31" t="s">
        <v>1141</v>
      </c>
      <c r="N539" s="32"/>
      <c r="O539" s="32"/>
      <c r="P539" s="32"/>
      <c r="Q539" s="33"/>
      <c r="R539" s="10">
        <f>LEN(M539)</f>
        <v>10</v>
      </c>
      <c r="S539" s="10">
        <f>MOD(R539,2)*4+FLOOR(R539/2,1)*6</f>
        <v>30</v>
      </c>
      <c r="T539" s="12" t="str">
        <f>IF(T538&lt;I537,"有效","无效")</f>
        <v>有效</v>
      </c>
    </row>
    <row r="540" spans="1:20" ht="20" customHeight="1">
      <c r="A540" s="22"/>
      <c r="B540" s="6" t="str">
        <f>IF(H540&lt;=12,"有效","无效")</f>
        <v>有效</v>
      </c>
      <c r="C540" s="34" t="s">
        <v>1138</v>
      </c>
      <c r="D540" s="35"/>
      <c r="E540" s="35"/>
      <c r="F540" s="35"/>
      <c r="G540" s="36"/>
      <c r="H540" s="4">
        <f>LEN(C540)</f>
        <v>5</v>
      </c>
      <c r="I540" s="11">
        <f>MOD(H540,2)*4+FLOOR(H540/2,1)*6</f>
        <v>16</v>
      </c>
      <c r="J540" s="12">
        <f>I540+I541</f>
        <v>34</v>
      </c>
      <c r="K540" s="20"/>
      <c r="L540" s="6" t="str">
        <f>IF(R540&lt;=12,"有效","无效")</f>
        <v>有效</v>
      </c>
      <c r="M540" s="31" t="s">
        <v>1142</v>
      </c>
      <c r="N540" s="32"/>
      <c r="O540" s="32"/>
      <c r="P540" s="32"/>
      <c r="Q540" s="33"/>
      <c r="R540" s="10">
        <f>LEN(M540)</f>
        <v>8</v>
      </c>
      <c r="S540" s="10">
        <f>MOD(R540,2)*4+FLOOR(R540/2,1)*6</f>
        <v>24</v>
      </c>
      <c r="T540" s="12">
        <f>S540+S541</f>
        <v>40</v>
      </c>
    </row>
    <row r="541" spans="1:20" ht="20" customHeight="1">
      <c r="A541" s="22"/>
      <c r="B541" s="6" t="str">
        <f>IF(H541&lt;=12,"有效","无效")</f>
        <v>有效</v>
      </c>
      <c r="C541" s="34" t="s">
        <v>1139</v>
      </c>
      <c r="D541" s="35"/>
      <c r="E541" s="35"/>
      <c r="F541" s="35"/>
      <c r="G541" s="36"/>
      <c r="H541" s="4">
        <f>LEN(C541)</f>
        <v>6</v>
      </c>
      <c r="I541" s="11">
        <f>MOD(H541,2)*4+FLOOR(H541/2,1)*6</f>
        <v>18</v>
      </c>
      <c r="J541" s="12" t="str">
        <f>IF(J540&lt;I537,"有效","无效")</f>
        <v>有效</v>
      </c>
      <c r="K541" s="20"/>
      <c r="L541" s="6" t="str">
        <f>IF(R541&lt;=12,"有效","无效")</f>
        <v>有效</v>
      </c>
      <c r="M541" s="31" t="s">
        <v>1143</v>
      </c>
      <c r="N541" s="32"/>
      <c r="O541" s="32"/>
      <c r="P541" s="32"/>
      <c r="Q541" s="33"/>
      <c r="R541" s="10">
        <f>LEN(M541)</f>
        <v>5</v>
      </c>
      <c r="S541" s="10">
        <f>MOD(R541,2)*4+FLOOR(R541/2,1)*6</f>
        <v>16</v>
      </c>
      <c r="T541" s="12" t="str">
        <f>IF(T540&lt;I537,"有效","无效")</f>
        <v>有效</v>
      </c>
    </row>
    <row r="542" spans="1:20" ht="20" customHeight="1">
      <c r="A542" s="22">
        <v>109</v>
      </c>
      <c r="B542" s="23" t="s">
        <v>173</v>
      </c>
      <c r="C542" s="24" t="s">
        <v>174</v>
      </c>
      <c r="D542" s="14">
        <f>LEN($B542)</f>
        <v>3</v>
      </c>
      <c r="E542" s="14">
        <f>LEN(C542)+3</f>
        <v>5</v>
      </c>
      <c r="F542" s="14">
        <f>MOD(D542,2)*4+FLOOR(D542/2,1)*6</f>
        <v>10</v>
      </c>
      <c r="G542" s="14">
        <f>MOD(E542,2)*4+FLOOR(E542/2,1)*6</f>
        <v>16</v>
      </c>
      <c r="H542" s="14">
        <v>12</v>
      </c>
      <c r="I542" s="14">
        <f>108-H542-G542-F542</f>
        <v>70</v>
      </c>
      <c r="J542" s="30"/>
    </row>
    <row r="543" spans="1:20" ht="20" customHeight="1">
      <c r="A543" s="22"/>
      <c r="B543" s="6" t="str">
        <f>IF(H543&lt;=12,"有效","无效")</f>
        <v>有效</v>
      </c>
      <c r="C543" s="34" t="s">
        <v>1149</v>
      </c>
      <c r="D543" s="35"/>
      <c r="E543" s="35"/>
      <c r="F543" s="35"/>
      <c r="G543" s="36"/>
      <c r="H543" s="4">
        <f>LEN(C543)</f>
        <v>8</v>
      </c>
      <c r="I543" s="11">
        <f>MOD(H543,2)*4+FLOOR(H543/2,1)*6</f>
        <v>24</v>
      </c>
      <c r="J543" s="12">
        <f>I543+I544</f>
        <v>40</v>
      </c>
      <c r="K543" s="20"/>
      <c r="L543" s="13" t="str">
        <f>IF(R543&lt;=12,"有效","无效")</f>
        <v>有效</v>
      </c>
      <c r="M543" s="32" t="s">
        <v>1144</v>
      </c>
      <c r="N543" s="32"/>
      <c r="O543" s="32"/>
      <c r="P543" s="32"/>
      <c r="Q543" s="33"/>
      <c r="R543" s="10">
        <f>LEN(M543)</f>
        <v>9</v>
      </c>
      <c r="S543" s="10">
        <f>MOD(R543,2)*4+FLOOR(R543/2,1)*6</f>
        <v>28</v>
      </c>
      <c r="T543" s="12">
        <f>S543+S544</f>
        <v>52</v>
      </c>
    </row>
    <row r="544" spans="1:20" ht="20" customHeight="1">
      <c r="A544" s="22"/>
      <c r="B544" s="6" t="str">
        <f>IF(H544&lt;=12,"有效","无效")</f>
        <v>有效</v>
      </c>
      <c r="C544" s="34" t="s">
        <v>2137</v>
      </c>
      <c r="D544" s="35"/>
      <c r="E544" s="35"/>
      <c r="F544" s="35"/>
      <c r="G544" s="36"/>
      <c r="H544" s="4">
        <f>LEN(C544)</f>
        <v>5</v>
      </c>
      <c r="I544" s="11">
        <f>MOD(H544,2)*4+FLOOR(H544/2,1)*6</f>
        <v>16</v>
      </c>
      <c r="J544" s="12" t="str">
        <f>IF(J543&lt;I542,"有效","无效")</f>
        <v>有效</v>
      </c>
      <c r="K544" s="20"/>
      <c r="L544" s="6" t="str">
        <f>IF(R544&lt;=12,"有效","无效")</f>
        <v>有效</v>
      </c>
      <c r="M544" s="31" t="s">
        <v>1145</v>
      </c>
      <c r="N544" s="32"/>
      <c r="O544" s="32"/>
      <c r="P544" s="32"/>
      <c r="Q544" s="33"/>
      <c r="R544" s="10">
        <f>LEN(M544)</f>
        <v>8</v>
      </c>
      <c r="S544" s="10">
        <f>MOD(R544,2)*4+FLOOR(R544/2,1)*6</f>
        <v>24</v>
      </c>
      <c r="T544" s="12" t="str">
        <f>IF(T543&lt;I542,"有效","无效")</f>
        <v>有效</v>
      </c>
    </row>
    <row r="545" spans="1:20" ht="20" customHeight="1">
      <c r="A545" s="22"/>
      <c r="B545" s="6" t="str">
        <f>IF(H545&lt;=12,"有效","无效")</f>
        <v>有效</v>
      </c>
      <c r="C545" s="34" t="s">
        <v>2138</v>
      </c>
      <c r="D545" s="35"/>
      <c r="E545" s="35"/>
      <c r="F545" s="35"/>
      <c r="G545" s="36"/>
      <c r="H545" s="4">
        <f>LEN(C545)</f>
        <v>9</v>
      </c>
      <c r="I545" s="11">
        <f>MOD(H545,2)*4+FLOOR(H545/2,1)*6</f>
        <v>28</v>
      </c>
      <c r="J545" s="12">
        <f>I545+I546</f>
        <v>52</v>
      </c>
      <c r="K545" s="20"/>
      <c r="L545" s="6" t="str">
        <f>IF(R545&lt;=12,"有效","无效")</f>
        <v>有效</v>
      </c>
      <c r="M545" s="31" t="s">
        <v>1146</v>
      </c>
      <c r="N545" s="32"/>
      <c r="O545" s="32"/>
      <c r="P545" s="32"/>
      <c r="Q545" s="33"/>
      <c r="R545" s="10">
        <f>LEN(M545)</f>
        <v>6</v>
      </c>
      <c r="S545" s="10">
        <f>MOD(R545,2)*4+FLOOR(R545/2,1)*6</f>
        <v>18</v>
      </c>
      <c r="T545" s="12">
        <f>S545+S546</f>
        <v>40</v>
      </c>
    </row>
    <row r="546" spans="1:20" ht="20" customHeight="1">
      <c r="A546" s="22"/>
      <c r="B546" s="6" t="str">
        <f>IF(H546&lt;=12,"有效","无效")</f>
        <v>有效</v>
      </c>
      <c r="C546" s="34" t="s">
        <v>1150</v>
      </c>
      <c r="D546" s="35"/>
      <c r="E546" s="35"/>
      <c r="F546" s="35"/>
      <c r="G546" s="36"/>
      <c r="H546" s="4">
        <f>LEN(C546)</f>
        <v>8</v>
      </c>
      <c r="I546" s="11">
        <f>MOD(H546,2)*4+FLOOR(H546/2,1)*6</f>
        <v>24</v>
      </c>
      <c r="J546" s="12" t="str">
        <f>IF(J545&lt;I542,"有效","无效")</f>
        <v>有效</v>
      </c>
      <c r="K546" s="20"/>
      <c r="L546" s="6" t="str">
        <f>IF(R546&lt;=12,"有效","无效")</f>
        <v>有效</v>
      </c>
      <c r="M546" s="31" t="s">
        <v>1147</v>
      </c>
      <c r="N546" s="32"/>
      <c r="O546" s="32"/>
      <c r="P546" s="32"/>
      <c r="Q546" s="33"/>
      <c r="R546" s="10">
        <f>LEN(M546)</f>
        <v>7</v>
      </c>
      <c r="S546" s="10">
        <f>MOD(R546,2)*4+FLOOR(R546/2,1)*6</f>
        <v>22</v>
      </c>
      <c r="T546" s="12" t="str">
        <f>IF(T545&lt;I542,"有效","无效")</f>
        <v>有效</v>
      </c>
    </row>
    <row r="547" spans="1:20" ht="20" customHeight="1">
      <c r="A547" s="22">
        <v>110</v>
      </c>
      <c r="B547" s="23" t="s">
        <v>175</v>
      </c>
      <c r="C547" s="24" t="s">
        <v>174</v>
      </c>
      <c r="D547" s="14">
        <f>LEN($B547)</f>
        <v>4</v>
      </c>
      <c r="E547" s="14">
        <f>LEN(C547)+3</f>
        <v>5</v>
      </c>
      <c r="F547" s="14">
        <f>MOD(D547,2)*4+FLOOR(D547/2,1)*6</f>
        <v>12</v>
      </c>
      <c r="G547" s="14">
        <f>MOD(E547,2)*4+FLOOR(E547/2,1)*6</f>
        <v>16</v>
      </c>
      <c r="H547" s="14">
        <v>12</v>
      </c>
      <c r="I547" s="14">
        <f>108-H547-G547-F547</f>
        <v>68</v>
      </c>
      <c r="J547" s="30"/>
    </row>
    <row r="548" spans="1:20" ht="20" customHeight="1">
      <c r="A548" s="22"/>
      <c r="B548" s="6" t="str">
        <f>IF(H548&lt;=12,"有效","无效")</f>
        <v>有效</v>
      </c>
      <c r="C548" s="31" t="s">
        <v>2139</v>
      </c>
      <c r="D548" s="32"/>
      <c r="E548" s="32"/>
      <c r="F548" s="32"/>
      <c r="G548" s="33"/>
      <c r="H548" s="4">
        <f>LEN(C548)</f>
        <v>9</v>
      </c>
      <c r="I548" s="11">
        <f>MOD(H548,2)*4+FLOOR(H548/2,1)*6</f>
        <v>28</v>
      </c>
      <c r="J548" s="12">
        <f>I548+I549</f>
        <v>64</v>
      </c>
      <c r="K548" s="20"/>
      <c r="L548" s="13" t="str">
        <f>IF(R548&lt;=12,"有效","无效")</f>
        <v>有效</v>
      </c>
      <c r="M548" s="32" t="s">
        <v>1151</v>
      </c>
      <c r="N548" s="32"/>
      <c r="O548" s="32"/>
      <c r="P548" s="32"/>
      <c r="Q548" s="33"/>
      <c r="R548" s="10">
        <f>LEN(M548)</f>
        <v>7</v>
      </c>
      <c r="S548" s="10">
        <f>MOD(R548,2)*4+FLOOR(R548/2,1)*6</f>
        <v>22</v>
      </c>
      <c r="T548" s="12">
        <f>S548+S549</f>
        <v>50</v>
      </c>
    </row>
    <row r="549" spans="1:20" ht="20" customHeight="1">
      <c r="A549" s="22"/>
      <c r="B549" s="6" t="str">
        <f>IF(H549&lt;=12,"有效","无效")</f>
        <v>有效</v>
      </c>
      <c r="C549" s="31" t="s">
        <v>2140</v>
      </c>
      <c r="D549" s="32"/>
      <c r="E549" s="32"/>
      <c r="F549" s="32"/>
      <c r="G549" s="33"/>
      <c r="H549" s="4">
        <f>LEN(C549)</f>
        <v>12</v>
      </c>
      <c r="I549" s="11">
        <f>MOD(H549,2)*4+FLOOR(H549/2,1)*6</f>
        <v>36</v>
      </c>
      <c r="J549" s="12" t="str">
        <f>IF(J548&lt;I547,"有效","无效")</f>
        <v>有效</v>
      </c>
      <c r="K549" s="20"/>
      <c r="L549" s="6" t="str">
        <f>IF(R549&lt;=12,"有效","无效")</f>
        <v>有效</v>
      </c>
      <c r="M549" s="31" t="s">
        <v>1152</v>
      </c>
      <c r="N549" s="32"/>
      <c r="O549" s="32"/>
      <c r="P549" s="32"/>
      <c r="Q549" s="33"/>
      <c r="R549" s="10">
        <f>LEN(M549)</f>
        <v>9</v>
      </c>
      <c r="S549" s="10">
        <f>MOD(R549,2)*4+FLOOR(R549/2,1)*6</f>
        <v>28</v>
      </c>
      <c r="T549" s="12" t="str">
        <f>IF(T548&lt;I547,"有效","无效")</f>
        <v>有效</v>
      </c>
    </row>
    <row r="550" spans="1:20" ht="20" customHeight="1">
      <c r="A550" s="22"/>
      <c r="B550" s="6" t="str">
        <f>IF(H550&lt;=12,"有效","无效")</f>
        <v>有效</v>
      </c>
      <c r="C550" s="31" t="s">
        <v>2142</v>
      </c>
      <c r="D550" s="32"/>
      <c r="E550" s="32"/>
      <c r="F550" s="32"/>
      <c r="G550" s="33"/>
      <c r="H550" s="4">
        <f>LEN(C550)</f>
        <v>6</v>
      </c>
      <c r="I550" s="11">
        <f>MOD(H550,2)*4+FLOOR(H550/2,1)*6</f>
        <v>18</v>
      </c>
      <c r="J550" s="12">
        <f>I550+I551</f>
        <v>40</v>
      </c>
      <c r="K550" s="20"/>
      <c r="L550" s="6" t="str">
        <f>IF(R550&lt;=12,"有效","无效")</f>
        <v>有效</v>
      </c>
      <c r="M550" s="31" t="s">
        <v>1153</v>
      </c>
      <c r="N550" s="32"/>
      <c r="O550" s="32"/>
      <c r="P550" s="32"/>
      <c r="Q550" s="33"/>
      <c r="R550" s="10">
        <f>LEN(M550)</f>
        <v>4</v>
      </c>
      <c r="S550" s="10">
        <f>MOD(R550,2)*4+FLOOR(R550/2,1)*6</f>
        <v>12</v>
      </c>
      <c r="T550" s="12">
        <f>S550+S551</f>
        <v>34</v>
      </c>
    </row>
    <row r="551" spans="1:20" ht="20" customHeight="1">
      <c r="A551" s="22"/>
      <c r="B551" s="6" t="str">
        <f>IF(H551&lt;=12,"有效","无效")</f>
        <v>有效</v>
      </c>
      <c r="C551" s="31" t="s">
        <v>2141</v>
      </c>
      <c r="D551" s="32"/>
      <c r="E551" s="32"/>
      <c r="F551" s="32"/>
      <c r="G551" s="33"/>
      <c r="H551" s="4">
        <f>LEN(C551)</f>
        <v>7</v>
      </c>
      <c r="I551" s="11">
        <f>MOD(H551,2)*4+FLOOR(H551/2,1)*6</f>
        <v>22</v>
      </c>
      <c r="J551" s="12" t="str">
        <f>IF(J550&lt;I547,"有效","无效")</f>
        <v>有效</v>
      </c>
      <c r="K551" s="20"/>
      <c r="L551" s="6" t="str">
        <f>IF(R551&lt;=12,"有效","无效")</f>
        <v>有效</v>
      </c>
      <c r="M551" s="31" t="s">
        <v>1154</v>
      </c>
      <c r="N551" s="32"/>
      <c r="O551" s="32"/>
      <c r="P551" s="32"/>
      <c r="Q551" s="33"/>
      <c r="R551" s="10">
        <f>LEN(M551)</f>
        <v>7</v>
      </c>
      <c r="S551" s="10">
        <f>MOD(R551,2)*4+FLOOR(R551/2,1)*6</f>
        <v>22</v>
      </c>
      <c r="T551" s="12" t="str">
        <f>IF(T550&lt;I547,"有效","无效")</f>
        <v>有效</v>
      </c>
    </row>
    <row r="552" spans="1:20" ht="20" customHeight="1">
      <c r="A552" s="22">
        <v>111</v>
      </c>
      <c r="B552" s="23" t="s">
        <v>176</v>
      </c>
      <c r="C552" s="24" t="s">
        <v>177</v>
      </c>
      <c r="D552" s="14">
        <f>LEN($B552)</f>
        <v>4</v>
      </c>
      <c r="E552" s="14">
        <f>LEN(C552)+3</f>
        <v>5</v>
      </c>
      <c r="F552" s="14">
        <f>MOD(D552,2)*4+FLOOR(D552/2,1)*6</f>
        <v>12</v>
      </c>
      <c r="G552" s="14">
        <f>MOD(E552,2)*4+FLOOR(E552/2,1)*6</f>
        <v>16</v>
      </c>
      <c r="H552" s="14">
        <v>12</v>
      </c>
      <c r="I552" s="14">
        <f>108-H552-G552-F552</f>
        <v>68</v>
      </c>
    </row>
    <row r="553" spans="1:20" ht="20" customHeight="1">
      <c r="A553" s="22"/>
      <c r="B553" s="6" t="str">
        <f>IF(H553&lt;=12,"有效","无效")</f>
        <v>有效</v>
      </c>
      <c r="C553" s="31" t="s">
        <v>1155</v>
      </c>
      <c r="D553" s="32"/>
      <c r="E553" s="32"/>
      <c r="F553" s="32"/>
      <c r="G553" s="33"/>
      <c r="H553" s="4">
        <f>LEN(C553)</f>
        <v>5</v>
      </c>
      <c r="I553" s="11">
        <f>MOD(H553,2)*4+FLOOR(H553/2,1)*6</f>
        <v>16</v>
      </c>
      <c r="J553" s="12">
        <f>I553+I554</f>
        <v>34</v>
      </c>
      <c r="K553" s="20"/>
      <c r="L553" s="13" t="str">
        <f>IF(R553&lt;=12,"有效","无效")</f>
        <v>有效</v>
      </c>
      <c r="M553" s="35" t="s">
        <v>1159</v>
      </c>
      <c r="N553" s="35"/>
      <c r="O553" s="35"/>
      <c r="P553" s="35"/>
      <c r="Q553" s="36"/>
      <c r="R553" s="10">
        <f>LEN(M553)</f>
        <v>9</v>
      </c>
      <c r="S553" s="10">
        <f>MOD(R553,2)*4+FLOOR(R553/2,1)*6</f>
        <v>28</v>
      </c>
      <c r="T553" s="12">
        <f>S553+S554</f>
        <v>64</v>
      </c>
    </row>
    <row r="554" spans="1:20" ht="20" customHeight="1">
      <c r="A554" s="22"/>
      <c r="B554" s="6" t="str">
        <f>IF(H554&lt;=12,"有效","无效")</f>
        <v>有效</v>
      </c>
      <c r="C554" s="31" t="s">
        <v>1156</v>
      </c>
      <c r="D554" s="32"/>
      <c r="E554" s="32"/>
      <c r="F554" s="32"/>
      <c r="G554" s="33"/>
      <c r="H554" s="4">
        <f>LEN(C554)</f>
        <v>6</v>
      </c>
      <c r="I554" s="11">
        <f>MOD(H554,2)*4+FLOOR(H554/2,1)*6</f>
        <v>18</v>
      </c>
      <c r="J554" s="12" t="str">
        <f>IF(J553&lt;I552,"有效","无效")</f>
        <v>有效</v>
      </c>
      <c r="K554" s="20"/>
      <c r="L554" s="6" t="str">
        <f>IF(R554&lt;=12,"有效","无效")</f>
        <v>有效</v>
      </c>
      <c r="M554" s="34" t="s">
        <v>1160</v>
      </c>
      <c r="N554" s="35"/>
      <c r="O554" s="35"/>
      <c r="P554" s="35"/>
      <c r="Q554" s="36"/>
      <c r="R554" s="10">
        <f>LEN(M554)</f>
        <v>12</v>
      </c>
      <c r="S554" s="10">
        <f>MOD(R554,2)*4+FLOOR(R554/2,1)*6</f>
        <v>36</v>
      </c>
      <c r="T554" s="12" t="str">
        <f>IF(T553&lt;I552,"有效","无效")</f>
        <v>有效</v>
      </c>
    </row>
    <row r="555" spans="1:20" ht="20" customHeight="1">
      <c r="A555" s="22"/>
      <c r="B555" s="6" t="str">
        <f>IF(H555&lt;=12,"有效","无效")</f>
        <v>有效</v>
      </c>
      <c r="C555" s="31" t="s">
        <v>1157</v>
      </c>
      <c r="D555" s="32"/>
      <c r="E555" s="32"/>
      <c r="F555" s="32"/>
      <c r="G555" s="33"/>
      <c r="H555" s="4">
        <f>LEN(C555)</f>
        <v>5</v>
      </c>
      <c r="I555" s="11">
        <f>MOD(H555,2)*4+FLOOR(H555/2,1)*6</f>
        <v>16</v>
      </c>
      <c r="J555" s="12">
        <f>I555+I556</f>
        <v>32</v>
      </c>
      <c r="K555" s="20"/>
      <c r="L555" s="6" t="str">
        <f>IF(R555&lt;=12,"有效","无效")</f>
        <v>有效</v>
      </c>
      <c r="M555" s="34" t="s">
        <v>1161</v>
      </c>
      <c r="N555" s="35"/>
      <c r="O555" s="35"/>
      <c r="P555" s="35"/>
      <c r="Q555" s="36"/>
      <c r="R555" s="10">
        <f>LEN(M555)</f>
        <v>5</v>
      </c>
      <c r="S555" s="10">
        <f>MOD(R555,2)*4+FLOOR(R555/2,1)*6</f>
        <v>16</v>
      </c>
      <c r="T555" s="12">
        <f>S555+S556</f>
        <v>44</v>
      </c>
    </row>
    <row r="556" spans="1:20" ht="20" customHeight="1">
      <c r="A556" s="22"/>
      <c r="B556" s="6" t="str">
        <f>IF(H556&lt;=12,"有效","无效")</f>
        <v>有效</v>
      </c>
      <c r="C556" s="31" t="s">
        <v>1158</v>
      </c>
      <c r="D556" s="32"/>
      <c r="E556" s="32"/>
      <c r="F556" s="32"/>
      <c r="G556" s="33"/>
      <c r="H556" s="4">
        <f>LEN(C556)</f>
        <v>5</v>
      </c>
      <c r="I556" s="11">
        <f>MOD(H556,2)*4+FLOOR(H556/2,1)*6</f>
        <v>16</v>
      </c>
      <c r="J556" s="12" t="str">
        <f>IF(J555&lt;I552,"有效","无效")</f>
        <v>有效</v>
      </c>
      <c r="K556" s="20"/>
      <c r="L556" s="6" t="str">
        <f>IF(R556&lt;=12,"有效","无效")</f>
        <v>有效</v>
      </c>
      <c r="M556" s="34" t="s">
        <v>1162</v>
      </c>
      <c r="N556" s="35"/>
      <c r="O556" s="35"/>
      <c r="P556" s="35"/>
      <c r="Q556" s="36"/>
      <c r="R556" s="10">
        <f>LEN(M556)</f>
        <v>9</v>
      </c>
      <c r="S556" s="10">
        <f>MOD(R556,2)*4+FLOOR(R556/2,1)*6</f>
        <v>28</v>
      </c>
      <c r="T556" s="12" t="str">
        <f>IF(T555&lt;I552,"有效","无效")</f>
        <v>有效</v>
      </c>
    </row>
    <row r="557" spans="1:20" ht="20" customHeight="1">
      <c r="A557" s="22">
        <v>112</v>
      </c>
      <c r="B557" s="23" t="s">
        <v>178</v>
      </c>
      <c r="C557" s="24" t="s">
        <v>51</v>
      </c>
      <c r="D557" s="14">
        <f>LEN($B557)</f>
        <v>4</v>
      </c>
      <c r="E557" s="14">
        <f>LEN(C557)+3</f>
        <v>5</v>
      </c>
      <c r="F557" s="14">
        <f>MOD(D557,2)*4+FLOOR(D557/2,1)*6</f>
        <v>12</v>
      </c>
      <c r="G557" s="14">
        <f>MOD(E557,2)*4+FLOOR(E557/2,1)*6</f>
        <v>16</v>
      </c>
      <c r="H557" s="14">
        <v>12</v>
      </c>
      <c r="I557" s="14">
        <f>108-H557-G557-F557</f>
        <v>68</v>
      </c>
      <c r="J557" s="30"/>
    </row>
    <row r="558" spans="1:20" ht="20" customHeight="1">
      <c r="A558" s="22"/>
      <c r="B558" s="6" t="str">
        <f>IF(H558&lt;=12,"有效","无效")</f>
        <v>有效</v>
      </c>
      <c r="C558" s="34" t="s">
        <v>2144</v>
      </c>
      <c r="D558" s="35"/>
      <c r="E558" s="35"/>
      <c r="F558" s="35"/>
      <c r="G558" s="36"/>
      <c r="H558" s="4">
        <f>LEN(C558)</f>
        <v>7</v>
      </c>
      <c r="I558" s="11">
        <f>MOD(H558,2)*4+FLOOR(H558/2,1)*6</f>
        <v>22</v>
      </c>
      <c r="J558" s="12">
        <f>I558+I559</f>
        <v>34</v>
      </c>
      <c r="K558" s="20"/>
      <c r="L558" s="13" t="str">
        <f>IF(R558&lt;=12,"有效","无效")</f>
        <v>有效</v>
      </c>
      <c r="M558" s="35" t="s">
        <v>1165</v>
      </c>
      <c r="N558" s="35"/>
      <c r="O558" s="35"/>
      <c r="P558" s="35"/>
      <c r="Q558" s="36"/>
      <c r="R558" s="10">
        <f>LEN(M558)</f>
        <v>10</v>
      </c>
      <c r="S558" s="10">
        <f>MOD(R558,2)*4+FLOOR(R558/2,1)*6</f>
        <v>30</v>
      </c>
      <c r="T558" s="12">
        <f>S558+S559</f>
        <v>54</v>
      </c>
    </row>
    <row r="559" spans="1:20" ht="20" customHeight="1">
      <c r="A559" s="22"/>
      <c r="B559" s="6" t="str">
        <f>IF(H559&lt;=12,"有效","无效")</f>
        <v>有效</v>
      </c>
      <c r="C559" s="34" t="s">
        <v>2143</v>
      </c>
      <c r="D559" s="35"/>
      <c r="E559" s="35"/>
      <c r="F559" s="35"/>
      <c r="G559" s="36"/>
      <c r="H559" s="4">
        <f>LEN(C559)</f>
        <v>4</v>
      </c>
      <c r="I559" s="11">
        <f>MOD(H559,2)*4+FLOOR(H559/2,1)*6</f>
        <v>12</v>
      </c>
      <c r="J559" s="12" t="str">
        <f>IF(J558&lt;I557,"有效","无效")</f>
        <v>有效</v>
      </c>
      <c r="K559" s="20"/>
      <c r="L559" s="6" t="str">
        <f>IF(R559&lt;=12,"有效","无效")</f>
        <v>有效</v>
      </c>
      <c r="M559" s="34" t="s">
        <v>1166</v>
      </c>
      <c r="N559" s="35"/>
      <c r="O559" s="35"/>
      <c r="P559" s="35"/>
      <c r="Q559" s="36"/>
      <c r="R559" s="10">
        <f>LEN(M559)</f>
        <v>8</v>
      </c>
      <c r="S559" s="10">
        <f>MOD(R559,2)*4+FLOOR(R559/2,1)*6</f>
        <v>24</v>
      </c>
      <c r="T559" s="12" t="str">
        <f>IF(T558&lt;I557,"有效","无效")</f>
        <v>有效</v>
      </c>
    </row>
    <row r="560" spans="1:20" ht="20" customHeight="1">
      <c r="A560" s="22"/>
      <c r="B560" s="6" t="str">
        <f>IF(H560&lt;=12,"有效","无效")</f>
        <v>有效</v>
      </c>
      <c r="C560" s="34" t="s">
        <v>1163</v>
      </c>
      <c r="D560" s="35"/>
      <c r="E560" s="35"/>
      <c r="F560" s="35"/>
      <c r="G560" s="36"/>
      <c r="H560" s="4">
        <f>LEN(C560)</f>
        <v>12</v>
      </c>
      <c r="I560" s="11">
        <f>MOD(H560,2)*4+FLOOR(H560/2,1)*6</f>
        <v>36</v>
      </c>
      <c r="J560" s="12">
        <f>I560+I561</f>
        <v>66</v>
      </c>
      <c r="K560" s="20"/>
      <c r="L560" s="6" t="str">
        <f>IF(R560&lt;=12,"有效","无效")</f>
        <v>有效</v>
      </c>
      <c r="M560" s="34" t="s">
        <v>1167</v>
      </c>
      <c r="N560" s="35"/>
      <c r="O560" s="35"/>
      <c r="P560" s="35"/>
      <c r="Q560" s="36"/>
      <c r="R560" s="10">
        <f>LEN(M560)</f>
        <v>7</v>
      </c>
      <c r="S560" s="10">
        <f>MOD(R560,2)*4+FLOOR(R560/2,1)*6</f>
        <v>22</v>
      </c>
      <c r="T560" s="12">
        <f>S560+S561</f>
        <v>56</v>
      </c>
    </row>
    <row r="561" spans="1:20" ht="20" customHeight="1">
      <c r="A561" s="22"/>
      <c r="B561" s="6" t="str">
        <f>IF(H561&lt;=12,"有效","无效")</f>
        <v>有效</v>
      </c>
      <c r="C561" s="34" t="s">
        <v>1164</v>
      </c>
      <c r="D561" s="35"/>
      <c r="E561" s="35"/>
      <c r="F561" s="35"/>
      <c r="G561" s="36"/>
      <c r="H561" s="4">
        <f>LEN(C561)</f>
        <v>10</v>
      </c>
      <c r="I561" s="11">
        <f>MOD(H561,2)*4+FLOOR(H561/2,1)*6</f>
        <v>30</v>
      </c>
      <c r="J561" s="12" t="str">
        <f>IF(J560&lt;I557,"有效","无效")</f>
        <v>有效</v>
      </c>
      <c r="K561" s="20"/>
      <c r="L561" s="6" t="str">
        <f>IF(R561&lt;=12,"有效","无效")</f>
        <v>有效</v>
      </c>
      <c r="M561" s="34" t="s">
        <v>1168</v>
      </c>
      <c r="N561" s="35"/>
      <c r="O561" s="35"/>
      <c r="P561" s="35"/>
      <c r="Q561" s="36"/>
      <c r="R561" s="10">
        <f>LEN(M561)</f>
        <v>11</v>
      </c>
      <c r="S561" s="10">
        <f>MOD(R561,2)*4+FLOOR(R561/2,1)*6</f>
        <v>34</v>
      </c>
      <c r="T561" s="12" t="str">
        <f>IF(T560&lt;I557,"有效","无效")</f>
        <v>有效</v>
      </c>
    </row>
    <row r="562" spans="1:20" ht="20" customHeight="1">
      <c r="A562" s="22">
        <v>113</v>
      </c>
      <c r="B562" s="23" t="s">
        <v>179</v>
      </c>
      <c r="C562" s="24" t="s">
        <v>160</v>
      </c>
      <c r="D562" s="14">
        <f>LEN($B562)</f>
        <v>3</v>
      </c>
      <c r="E562" s="14">
        <f>LEN(C562)+3</f>
        <v>4</v>
      </c>
      <c r="F562" s="14">
        <f>MOD(D562,2)*4+FLOOR(D562/2,1)*6</f>
        <v>10</v>
      </c>
      <c r="G562" s="14">
        <f>MOD(E562,2)*4+FLOOR(E562/2,1)*6</f>
        <v>12</v>
      </c>
      <c r="H562" s="14">
        <v>12</v>
      </c>
      <c r="I562" s="14">
        <f>108-H562-G562-F562</f>
        <v>74</v>
      </c>
    </row>
    <row r="563" spans="1:20" ht="20" customHeight="1">
      <c r="A563" s="22"/>
      <c r="B563" s="6" t="str">
        <f>IF(H563&lt;=12,"有效","无效")</f>
        <v>有效</v>
      </c>
      <c r="C563" s="31" t="s">
        <v>1169</v>
      </c>
      <c r="D563" s="32"/>
      <c r="E563" s="32"/>
      <c r="F563" s="32"/>
      <c r="G563" s="33"/>
      <c r="H563" s="4">
        <f>LEN(C563)</f>
        <v>5</v>
      </c>
      <c r="I563" s="11">
        <f>MOD(H563,2)*4+FLOOR(H563/2,1)*6</f>
        <v>16</v>
      </c>
      <c r="J563" s="12">
        <f>I563+I564</f>
        <v>40</v>
      </c>
      <c r="K563" s="20"/>
      <c r="L563" s="13" t="str">
        <f>IF(R563&lt;=12,"有效","无效")</f>
        <v>有效</v>
      </c>
      <c r="M563" s="35" t="s">
        <v>1178</v>
      </c>
      <c r="N563" s="35"/>
      <c r="O563" s="35"/>
      <c r="P563" s="35"/>
      <c r="Q563" s="36"/>
      <c r="R563" s="10">
        <f>LEN(M563)</f>
        <v>7</v>
      </c>
      <c r="S563" s="10">
        <f>MOD(R563,2)*4+FLOOR(R563/2,1)*6</f>
        <v>22</v>
      </c>
      <c r="T563" s="12">
        <f>S563+S564</f>
        <v>44</v>
      </c>
    </row>
    <row r="564" spans="1:20" ht="20" customHeight="1">
      <c r="A564" s="22"/>
      <c r="B564" s="6" t="str">
        <f>IF(H564&lt;=12,"有效","无效")</f>
        <v>有效</v>
      </c>
      <c r="C564" s="31" t="s">
        <v>1170</v>
      </c>
      <c r="D564" s="32"/>
      <c r="E564" s="32"/>
      <c r="F564" s="32"/>
      <c r="G564" s="33"/>
      <c r="H564" s="4">
        <f>LEN(C564)</f>
        <v>8</v>
      </c>
      <c r="I564" s="11">
        <f>MOD(H564,2)*4+FLOOR(H564/2,1)*6</f>
        <v>24</v>
      </c>
      <c r="J564" s="12" t="str">
        <f>IF(J563&lt;I562,"有效","无效")</f>
        <v>有效</v>
      </c>
      <c r="K564" s="20"/>
      <c r="L564" s="6" t="str">
        <f>IF(R564&lt;=12,"有效","无效")</f>
        <v>有效</v>
      </c>
      <c r="M564" s="34" t="s">
        <v>1173</v>
      </c>
      <c r="N564" s="35"/>
      <c r="O564" s="35"/>
      <c r="P564" s="35"/>
      <c r="Q564" s="36"/>
      <c r="R564" s="10">
        <f>LEN(M564)</f>
        <v>7</v>
      </c>
      <c r="S564" s="10">
        <f>MOD(R564,2)*4+FLOOR(R564/2,1)*6</f>
        <v>22</v>
      </c>
      <c r="T564" s="12" t="str">
        <f>IF(T563&lt;I562,"有效","无效")</f>
        <v>有效</v>
      </c>
    </row>
    <row r="565" spans="1:20" ht="20" customHeight="1">
      <c r="A565" s="22"/>
      <c r="B565" s="6" t="str">
        <f>IF(H565&lt;=12,"有效","无效")</f>
        <v>有效</v>
      </c>
      <c r="C565" s="31" t="s">
        <v>1171</v>
      </c>
      <c r="D565" s="32"/>
      <c r="E565" s="32"/>
      <c r="F565" s="32"/>
      <c r="G565" s="33"/>
      <c r="H565" s="4">
        <f>LEN(C565)</f>
        <v>9</v>
      </c>
      <c r="I565" s="11">
        <f>MOD(H565,2)*4+FLOOR(H565/2,1)*6</f>
        <v>28</v>
      </c>
      <c r="J565" s="12">
        <f>I565+I566</f>
        <v>64</v>
      </c>
      <c r="K565" s="20"/>
      <c r="L565" s="6" t="str">
        <f>IF(R565&lt;=12,"有效","无效")</f>
        <v>有效</v>
      </c>
      <c r="M565" s="34" t="s">
        <v>1174</v>
      </c>
      <c r="N565" s="35"/>
      <c r="O565" s="35"/>
      <c r="P565" s="35"/>
      <c r="Q565" s="36"/>
      <c r="R565" s="10">
        <f>LEN(M565)</f>
        <v>10</v>
      </c>
      <c r="S565" s="10">
        <f>MOD(R565,2)*4+FLOOR(R565/2,1)*6</f>
        <v>30</v>
      </c>
      <c r="T565" s="12">
        <f>S565+S566</f>
        <v>54</v>
      </c>
    </row>
    <row r="566" spans="1:20" ht="20" customHeight="1">
      <c r="A566" s="22"/>
      <c r="B566" s="6" t="str">
        <f>IF(H566&lt;=12,"有效","无效")</f>
        <v>有效</v>
      </c>
      <c r="C566" s="31" t="s">
        <v>1172</v>
      </c>
      <c r="D566" s="32"/>
      <c r="E566" s="32"/>
      <c r="F566" s="32"/>
      <c r="G566" s="33"/>
      <c r="H566" s="4">
        <f>LEN(C566)</f>
        <v>12</v>
      </c>
      <c r="I566" s="11">
        <f>MOD(H566,2)*4+FLOOR(H566/2,1)*6</f>
        <v>36</v>
      </c>
      <c r="J566" s="12" t="str">
        <f>IF(J565&lt;I562,"有效","无效")</f>
        <v>有效</v>
      </c>
      <c r="K566" s="20"/>
      <c r="L566" s="6" t="str">
        <f>IF(R566&lt;=12,"有效","无效")</f>
        <v>有效</v>
      </c>
      <c r="M566" s="34" t="s">
        <v>1175</v>
      </c>
      <c r="N566" s="35"/>
      <c r="O566" s="35"/>
      <c r="P566" s="35"/>
      <c r="Q566" s="36"/>
      <c r="R566" s="10">
        <f>LEN(M566)</f>
        <v>8</v>
      </c>
      <c r="S566" s="10">
        <f>MOD(R566,2)*4+FLOOR(R566/2,1)*6</f>
        <v>24</v>
      </c>
      <c r="T566" s="12" t="str">
        <f>IF(T565&lt;I562,"有效","无效")</f>
        <v>有效</v>
      </c>
    </row>
    <row r="567" spans="1:20" ht="20" customHeight="1">
      <c r="A567" s="22">
        <v>114</v>
      </c>
      <c r="B567" s="23" t="s">
        <v>180</v>
      </c>
      <c r="C567" s="24" t="s">
        <v>181</v>
      </c>
      <c r="D567" s="14">
        <f>LEN($B567)</f>
        <v>3</v>
      </c>
      <c r="E567" s="14">
        <f>LEN(C567)+3</f>
        <v>6</v>
      </c>
      <c r="F567" s="14">
        <f>MOD(D567,2)*4+FLOOR(D567/2,1)*6</f>
        <v>10</v>
      </c>
      <c r="G567" s="14">
        <f>MOD(E567,2)*4+FLOOR(E567/2,1)*6</f>
        <v>18</v>
      </c>
      <c r="H567" s="14">
        <v>12</v>
      </c>
      <c r="I567" s="14">
        <f>108-H567-G567-F567</f>
        <v>68</v>
      </c>
    </row>
    <row r="568" spans="1:20" ht="20" customHeight="1">
      <c r="A568" s="22"/>
      <c r="B568" s="6" t="str">
        <f>IF(H568&lt;=12,"有效","无效")</f>
        <v>有效</v>
      </c>
      <c r="C568" s="34" t="s">
        <v>1179</v>
      </c>
      <c r="D568" s="35"/>
      <c r="E568" s="35"/>
      <c r="F568" s="35"/>
      <c r="G568" s="36"/>
      <c r="H568" s="4">
        <f>LEN(C568)</f>
        <v>7</v>
      </c>
      <c r="I568" s="11">
        <f>MOD(H568,2)*4+FLOOR(H568/2,1)*6</f>
        <v>22</v>
      </c>
      <c r="J568" s="12">
        <f>I568+I569</f>
        <v>50</v>
      </c>
      <c r="K568" s="20"/>
      <c r="L568" s="13" t="str">
        <f>IF(R568&lt;=12,"有效","无效")</f>
        <v>有效</v>
      </c>
      <c r="M568" s="32" t="s">
        <v>1177</v>
      </c>
      <c r="N568" s="32"/>
      <c r="O568" s="32"/>
      <c r="P568" s="32"/>
      <c r="Q568" s="33"/>
      <c r="R568" s="10">
        <f>LEN(M568)</f>
        <v>6</v>
      </c>
      <c r="S568" s="10">
        <f>MOD(R568,2)*4+FLOOR(R568/2,1)*6</f>
        <v>18</v>
      </c>
      <c r="T568" s="12">
        <f>S568+S569</f>
        <v>42</v>
      </c>
    </row>
    <row r="569" spans="1:20" ht="20" customHeight="1">
      <c r="A569" s="22"/>
      <c r="B569" s="6" t="str">
        <f>IF(H569&lt;=12,"有效","无效")</f>
        <v>有效</v>
      </c>
      <c r="C569" s="34" t="s">
        <v>1180</v>
      </c>
      <c r="D569" s="35"/>
      <c r="E569" s="35"/>
      <c r="F569" s="35"/>
      <c r="G569" s="36"/>
      <c r="H569" s="4">
        <f>LEN(C569)</f>
        <v>9</v>
      </c>
      <c r="I569" s="11">
        <f>MOD(H569,2)*4+FLOOR(H569/2,1)*6</f>
        <v>28</v>
      </c>
      <c r="J569" s="12" t="str">
        <f>IF(J568&lt;I567,"有效","无效")</f>
        <v>有效</v>
      </c>
      <c r="K569" s="20"/>
      <c r="L569" s="6" t="str">
        <f>IF(R569&lt;=12,"有效","无效")</f>
        <v>有效</v>
      </c>
      <c r="M569" s="31" t="s">
        <v>2393</v>
      </c>
      <c r="N569" s="32"/>
      <c r="O569" s="32"/>
      <c r="P569" s="32"/>
      <c r="Q569" s="33"/>
      <c r="R569" s="10">
        <f>LEN(M569)</f>
        <v>8</v>
      </c>
      <c r="S569" s="10">
        <f>MOD(R569,2)*4+FLOOR(R569/2,1)*6</f>
        <v>24</v>
      </c>
      <c r="T569" s="12" t="str">
        <f>IF(T568&lt;I567,"有效","无效")</f>
        <v>有效</v>
      </c>
    </row>
    <row r="570" spans="1:20" ht="20" customHeight="1">
      <c r="A570" s="22"/>
      <c r="B570" s="6" t="str">
        <f>IF(H570&lt;=12,"有效","无效")</f>
        <v>有效</v>
      </c>
      <c r="C570" s="34" t="s">
        <v>1182</v>
      </c>
      <c r="D570" s="35"/>
      <c r="E570" s="35"/>
      <c r="F570" s="35"/>
      <c r="G570" s="36"/>
      <c r="H570" s="4">
        <f>LEN(C570)</f>
        <v>3</v>
      </c>
      <c r="I570" s="11">
        <f>MOD(H570,2)*4+FLOOR(H570/2,1)*6</f>
        <v>10</v>
      </c>
      <c r="J570" s="12">
        <f>I570+I571</f>
        <v>28</v>
      </c>
      <c r="K570" s="20"/>
      <c r="L570" s="6" t="str">
        <f>IF(R570&lt;=12,"有效","无效")</f>
        <v>有效</v>
      </c>
      <c r="M570" s="31" t="s">
        <v>2392</v>
      </c>
      <c r="N570" s="32"/>
      <c r="O570" s="32"/>
      <c r="P570" s="32"/>
      <c r="Q570" s="33"/>
      <c r="R570" s="10">
        <f>LEN(M570)</f>
        <v>9</v>
      </c>
      <c r="S570" s="10">
        <f>MOD(R570,2)*4+FLOOR(R570/2,1)*6</f>
        <v>28</v>
      </c>
      <c r="T570" s="12">
        <f>S570+S571</f>
        <v>64</v>
      </c>
    </row>
    <row r="571" spans="1:20" ht="20" customHeight="1">
      <c r="A571" s="22"/>
      <c r="B571" s="6" t="str">
        <f>IF(H571&lt;=12,"有效","无效")</f>
        <v>有效</v>
      </c>
      <c r="C571" s="34" t="s">
        <v>1181</v>
      </c>
      <c r="D571" s="35"/>
      <c r="E571" s="35"/>
      <c r="F571" s="35"/>
      <c r="G571" s="36"/>
      <c r="H571" s="4">
        <f>LEN(C571)</f>
        <v>6</v>
      </c>
      <c r="I571" s="11">
        <f>MOD(H571,2)*4+FLOOR(H571/2,1)*6</f>
        <v>18</v>
      </c>
      <c r="J571" s="12" t="str">
        <f>IF(J570&lt;I567,"有效","无效")</f>
        <v>有效</v>
      </c>
      <c r="K571" s="20"/>
      <c r="L571" s="6" t="str">
        <f>IF(R571&lt;=12,"有效","无效")</f>
        <v>有效</v>
      </c>
      <c r="M571" s="31" t="s">
        <v>1176</v>
      </c>
      <c r="N571" s="32"/>
      <c r="O571" s="32"/>
      <c r="P571" s="32"/>
      <c r="Q571" s="33"/>
      <c r="R571" s="10">
        <f>LEN(M571)</f>
        <v>12</v>
      </c>
      <c r="S571" s="10">
        <f>MOD(R571,2)*4+FLOOR(R571/2,1)*6</f>
        <v>36</v>
      </c>
      <c r="T571" s="12" t="str">
        <f>IF(T570&lt;I567,"有效","无效")</f>
        <v>有效</v>
      </c>
    </row>
    <row r="572" spans="1:20" ht="20" customHeight="1">
      <c r="A572" s="22">
        <v>115</v>
      </c>
      <c r="B572" s="23" t="s">
        <v>182</v>
      </c>
      <c r="C572" s="24" t="s">
        <v>183</v>
      </c>
      <c r="D572" s="14">
        <f>LEN($B572)</f>
        <v>2</v>
      </c>
      <c r="E572" s="14">
        <f>LEN(C572)+3</f>
        <v>5</v>
      </c>
      <c r="F572" s="14">
        <f>MOD(D572,2)*4+FLOOR(D572/2,1)*6</f>
        <v>6</v>
      </c>
      <c r="G572" s="14">
        <f>MOD(E572,2)*4+FLOOR(E572/2,1)*6</f>
        <v>16</v>
      </c>
      <c r="H572" s="14">
        <v>12</v>
      </c>
      <c r="I572" s="14">
        <f>108-H572-G572-F572</f>
        <v>74</v>
      </c>
    </row>
    <row r="573" spans="1:20" ht="20" customHeight="1">
      <c r="A573" s="22"/>
      <c r="B573" s="6" t="str">
        <f>IF(H573&lt;=12,"有效","无效")</f>
        <v>有效</v>
      </c>
      <c r="C573" s="31" t="s">
        <v>1183</v>
      </c>
      <c r="D573" s="32"/>
      <c r="E573" s="32"/>
      <c r="F573" s="32"/>
      <c r="G573" s="33"/>
      <c r="H573" s="4">
        <f>LEN(C573)</f>
        <v>10</v>
      </c>
      <c r="I573" s="11">
        <f>MOD(H573,2)*4+FLOOR(H573/2,1)*6</f>
        <v>30</v>
      </c>
      <c r="J573" s="12">
        <f>I573+I574</f>
        <v>66</v>
      </c>
      <c r="K573" s="20"/>
      <c r="L573" s="13" t="str">
        <f>IF(R573&lt;=12,"有效","无效")</f>
        <v>有效</v>
      </c>
      <c r="M573" s="35" t="s">
        <v>2299</v>
      </c>
      <c r="N573" s="35"/>
      <c r="O573" s="35"/>
      <c r="P573" s="35"/>
      <c r="Q573" s="36"/>
      <c r="R573" s="10">
        <f>LEN(M573)</f>
        <v>5</v>
      </c>
      <c r="S573" s="10">
        <f>MOD(R573,2)*4+FLOOR(R573/2,1)*6</f>
        <v>16</v>
      </c>
      <c r="T573" s="12">
        <f>S573+S574</f>
        <v>32</v>
      </c>
    </row>
    <row r="574" spans="1:20" ht="20" customHeight="1">
      <c r="A574" s="22"/>
      <c r="B574" s="6" t="str">
        <f>IF(H574&lt;=12,"有效","无效")</f>
        <v>有效</v>
      </c>
      <c r="C574" s="31" t="s">
        <v>1184</v>
      </c>
      <c r="D574" s="32"/>
      <c r="E574" s="32"/>
      <c r="F574" s="32"/>
      <c r="G574" s="33"/>
      <c r="H574" s="4">
        <f>LEN(C574)</f>
        <v>12</v>
      </c>
      <c r="I574" s="11">
        <f>MOD(H574,2)*4+FLOOR(H574/2,1)*6</f>
        <v>36</v>
      </c>
      <c r="J574" s="12" t="str">
        <f>IF(J573&lt;I572,"有效","无效")</f>
        <v>有效</v>
      </c>
      <c r="K574" s="20"/>
      <c r="L574" s="6" t="str">
        <f>IF(R574&lt;=12,"有效","无效")</f>
        <v>有效</v>
      </c>
      <c r="M574" s="34" t="s">
        <v>2300</v>
      </c>
      <c r="N574" s="35"/>
      <c r="O574" s="35"/>
      <c r="P574" s="35"/>
      <c r="Q574" s="36"/>
      <c r="R574" s="10">
        <f>LEN(M574)</f>
        <v>5</v>
      </c>
      <c r="S574" s="10">
        <f>MOD(R574,2)*4+FLOOR(R574/2,1)*6</f>
        <v>16</v>
      </c>
      <c r="T574" s="12" t="str">
        <f>IF(T573&lt;I572,"有效","无效")</f>
        <v>有效</v>
      </c>
    </row>
    <row r="575" spans="1:20" ht="20" customHeight="1">
      <c r="A575" s="22"/>
      <c r="B575" s="6" t="str">
        <f>IF(H575&lt;=12,"有效","无效")</f>
        <v>有效</v>
      </c>
      <c r="C575" s="31" t="s">
        <v>1185</v>
      </c>
      <c r="D575" s="32"/>
      <c r="E575" s="32"/>
      <c r="F575" s="32"/>
      <c r="G575" s="33"/>
      <c r="H575" s="4">
        <f>LEN(C575)</f>
        <v>6</v>
      </c>
      <c r="I575" s="11">
        <f>MOD(H575,2)*4+FLOOR(H575/2,1)*6</f>
        <v>18</v>
      </c>
      <c r="J575" s="12">
        <f>I575+I576</f>
        <v>34</v>
      </c>
      <c r="K575" s="20"/>
      <c r="L575" s="6" t="str">
        <f>IF(R575&lt;=12,"有效","无效")</f>
        <v>有效</v>
      </c>
      <c r="M575" s="34" t="s">
        <v>2297</v>
      </c>
      <c r="N575" s="35"/>
      <c r="O575" s="35"/>
      <c r="P575" s="35"/>
      <c r="Q575" s="36"/>
      <c r="R575" s="10">
        <f>LEN(M575)</f>
        <v>9</v>
      </c>
      <c r="S575" s="10">
        <f>MOD(R575,2)*4+FLOOR(R575/2,1)*6</f>
        <v>28</v>
      </c>
      <c r="T575" s="12">
        <f>S575+S576</f>
        <v>56</v>
      </c>
    </row>
    <row r="576" spans="1:20" ht="20" customHeight="1">
      <c r="A576" s="22"/>
      <c r="B576" s="6" t="str">
        <f>IF(H576&lt;=12,"有效","无效")</f>
        <v>有效</v>
      </c>
      <c r="C576" s="31" t="s">
        <v>1186</v>
      </c>
      <c r="D576" s="32"/>
      <c r="E576" s="32"/>
      <c r="F576" s="32"/>
      <c r="G576" s="33"/>
      <c r="H576" s="4">
        <f>LEN(C576)</f>
        <v>5</v>
      </c>
      <c r="I576" s="11">
        <f>MOD(H576,2)*4+FLOOR(H576/2,1)*6</f>
        <v>16</v>
      </c>
      <c r="J576" s="12" t="str">
        <f>IF(J575&lt;I572,"有效","无效")</f>
        <v>有效</v>
      </c>
      <c r="K576" s="20"/>
      <c r="L576" s="6" t="str">
        <f>IF(R576&lt;=12,"有效","无效")</f>
        <v>有效</v>
      </c>
      <c r="M576" s="34" t="s">
        <v>2298</v>
      </c>
      <c r="N576" s="35"/>
      <c r="O576" s="35"/>
      <c r="P576" s="35"/>
      <c r="Q576" s="36"/>
      <c r="R576" s="10">
        <f>LEN(M576)</f>
        <v>9</v>
      </c>
      <c r="S576" s="10">
        <f>MOD(R576,2)*4+FLOOR(R576/2,1)*6</f>
        <v>28</v>
      </c>
      <c r="T576" s="12" t="str">
        <f>IF(T575&lt;I572,"有效","无效")</f>
        <v>有效</v>
      </c>
    </row>
    <row r="577" spans="1:20" ht="20" customHeight="1">
      <c r="A577" s="22">
        <v>116</v>
      </c>
      <c r="B577" s="23" t="s">
        <v>184</v>
      </c>
      <c r="C577" s="24" t="s">
        <v>185</v>
      </c>
      <c r="D577" s="14">
        <f>LEN($B577)</f>
        <v>3</v>
      </c>
      <c r="E577" s="14">
        <f>LEN(C577)+3</f>
        <v>4</v>
      </c>
      <c r="F577" s="14">
        <f>MOD(D577,2)*4+FLOOR(D577/2,1)*6</f>
        <v>10</v>
      </c>
      <c r="G577" s="14">
        <f>MOD(E577,2)*4+FLOOR(E577/2,1)*6</f>
        <v>12</v>
      </c>
      <c r="H577" s="14">
        <v>12</v>
      </c>
      <c r="I577" s="14">
        <f>108-H577-G577-F577</f>
        <v>74</v>
      </c>
    </row>
    <row r="578" spans="1:20" ht="20" customHeight="1">
      <c r="A578" s="22"/>
      <c r="B578" s="6" t="str">
        <f>IF(H578&lt;=12,"有效","无效")</f>
        <v>有效</v>
      </c>
      <c r="C578" s="31" t="s">
        <v>1187</v>
      </c>
      <c r="D578" s="32"/>
      <c r="E578" s="32"/>
      <c r="F578" s="32"/>
      <c r="G578" s="33"/>
      <c r="H578" s="4">
        <f>LEN(C578)</f>
        <v>7</v>
      </c>
      <c r="I578" s="11">
        <f>MOD(H578,2)*4+FLOOR(H578/2,1)*6</f>
        <v>22</v>
      </c>
      <c r="J578" s="12">
        <f>I578+I579</f>
        <v>38</v>
      </c>
      <c r="K578" s="20"/>
      <c r="L578" s="13" t="str">
        <f>IF(R578&lt;=12,"有效","无效")</f>
        <v>有效</v>
      </c>
      <c r="M578" s="35" t="s">
        <v>1191</v>
      </c>
      <c r="N578" s="35"/>
      <c r="O578" s="35"/>
      <c r="P578" s="35"/>
      <c r="Q578" s="36"/>
      <c r="R578" s="10">
        <f>LEN(M578)</f>
        <v>7</v>
      </c>
      <c r="S578" s="10">
        <f>MOD(R578,2)*4+FLOOR(R578/2,1)*6</f>
        <v>22</v>
      </c>
      <c r="T578" s="12">
        <f>S578+S579</f>
        <v>40</v>
      </c>
    </row>
    <row r="579" spans="1:20" ht="20" customHeight="1">
      <c r="A579" s="22"/>
      <c r="B579" s="6" t="str">
        <f>IF(H579&lt;=12,"有效","无效")</f>
        <v>有效</v>
      </c>
      <c r="C579" s="31" t="s">
        <v>1188</v>
      </c>
      <c r="D579" s="32"/>
      <c r="E579" s="32"/>
      <c r="F579" s="32"/>
      <c r="G579" s="33"/>
      <c r="H579" s="4">
        <f>LEN(C579)</f>
        <v>5</v>
      </c>
      <c r="I579" s="11">
        <f>MOD(H579,2)*4+FLOOR(H579/2,1)*6</f>
        <v>16</v>
      </c>
      <c r="J579" s="12" t="str">
        <f>IF(J578&lt;I577,"有效","无效")</f>
        <v>有效</v>
      </c>
      <c r="K579" s="20"/>
      <c r="L579" s="6" t="str">
        <f>IF(R579&lt;=12,"有效","无效")</f>
        <v>有效</v>
      </c>
      <c r="M579" s="34" t="s">
        <v>1192</v>
      </c>
      <c r="N579" s="35"/>
      <c r="O579" s="35"/>
      <c r="P579" s="35"/>
      <c r="Q579" s="36"/>
      <c r="R579" s="10">
        <f>LEN(M579)</f>
        <v>6</v>
      </c>
      <c r="S579" s="10">
        <f>MOD(R579,2)*4+FLOOR(R579/2,1)*6</f>
        <v>18</v>
      </c>
      <c r="T579" s="12" t="str">
        <f>IF(T578&lt;I577,"有效","无效")</f>
        <v>有效</v>
      </c>
    </row>
    <row r="580" spans="1:20" ht="20" customHeight="1">
      <c r="A580" s="22"/>
      <c r="B580" s="6" t="str">
        <f>IF(H580&lt;=12,"有效","无效")</f>
        <v>有效</v>
      </c>
      <c r="C580" s="31" t="s">
        <v>1189</v>
      </c>
      <c r="D580" s="32"/>
      <c r="E580" s="32"/>
      <c r="F580" s="32"/>
      <c r="G580" s="33"/>
      <c r="H580" s="4">
        <f>LEN(C580)</f>
        <v>10</v>
      </c>
      <c r="I580" s="11">
        <f>MOD(H580,2)*4+FLOOR(H580/2,1)*6</f>
        <v>30</v>
      </c>
      <c r="J580" s="12">
        <f>I580+I581</f>
        <v>64</v>
      </c>
      <c r="K580" s="20"/>
      <c r="L580" s="6" t="str">
        <f>IF(R580&lt;=12,"有效","无效")</f>
        <v>有效</v>
      </c>
      <c r="M580" s="34" t="s">
        <v>1193</v>
      </c>
      <c r="N580" s="35"/>
      <c r="O580" s="35"/>
      <c r="P580" s="35"/>
      <c r="Q580" s="36"/>
      <c r="R580" s="10">
        <f>LEN(M580)</f>
        <v>9</v>
      </c>
      <c r="S580" s="10">
        <f>MOD(R580,2)*4+FLOOR(R580/2,1)*6</f>
        <v>28</v>
      </c>
      <c r="T580" s="12">
        <f>S580+S581</f>
        <v>50</v>
      </c>
    </row>
    <row r="581" spans="1:20" ht="20" customHeight="1">
      <c r="A581" s="22"/>
      <c r="B581" s="6" t="str">
        <f>IF(H581&lt;=12,"有效","无效")</f>
        <v>有效</v>
      </c>
      <c r="C581" s="31" t="s">
        <v>1190</v>
      </c>
      <c r="D581" s="32"/>
      <c r="E581" s="32"/>
      <c r="F581" s="32"/>
      <c r="G581" s="33"/>
      <c r="H581" s="4">
        <f>LEN(C581)</f>
        <v>11</v>
      </c>
      <c r="I581" s="11">
        <f>MOD(H581,2)*4+FLOOR(H581/2,1)*6</f>
        <v>34</v>
      </c>
      <c r="J581" s="12" t="str">
        <f>IF(J580&lt;I577,"有效","无效")</f>
        <v>有效</v>
      </c>
      <c r="K581" s="20"/>
      <c r="L581" s="6" t="str">
        <f>IF(R581&lt;=12,"有效","无效")</f>
        <v>有效</v>
      </c>
      <c r="M581" s="34" t="s">
        <v>1194</v>
      </c>
      <c r="N581" s="35"/>
      <c r="O581" s="35"/>
      <c r="P581" s="35"/>
      <c r="Q581" s="36"/>
      <c r="R581" s="10">
        <f>LEN(M581)</f>
        <v>7</v>
      </c>
      <c r="S581" s="10">
        <f>MOD(R581,2)*4+FLOOR(R581/2,1)*6</f>
        <v>22</v>
      </c>
      <c r="T581" s="12" t="str">
        <f>IF(T580&lt;I577,"有效","无效")</f>
        <v>有效</v>
      </c>
    </row>
    <row r="582" spans="1:20" ht="20" customHeight="1">
      <c r="A582" s="22">
        <v>117</v>
      </c>
      <c r="B582" s="23" t="s">
        <v>186</v>
      </c>
      <c r="C582" s="24" t="s">
        <v>185</v>
      </c>
      <c r="D582" s="14">
        <f>LEN($B582)</f>
        <v>3</v>
      </c>
      <c r="E582" s="14">
        <f>LEN(C582)+3</f>
        <v>4</v>
      </c>
      <c r="F582" s="14">
        <f>MOD(D582,2)*4+FLOOR(D582/2,1)*6</f>
        <v>10</v>
      </c>
      <c r="G582" s="14">
        <f>MOD(E582,2)*4+FLOOR(E582/2,1)*6</f>
        <v>12</v>
      </c>
      <c r="H582" s="14">
        <v>12</v>
      </c>
      <c r="I582" s="14">
        <f>108-H582-G582-F582</f>
        <v>74</v>
      </c>
      <c r="J582" s="30"/>
    </row>
    <row r="583" spans="1:20" ht="20" customHeight="1">
      <c r="A583" s="22"/>
      <c r="B583" s="6" t="str">
        <f>IF(H583&lt;=12,"有效","无效")</f>
        <v>有效</v>
      </c>
      <c r="C583" s="34" t="s">
        <v>2145</v>
      </c>
      <c r="D583" s="35"/>
      <c r="E583" s="35"/>
      <c r="F583" s="35"/>
      <c r="G583" s="36"/>
      <c r="H583" s="4">
        <f>LEN(C583)</f>
        <v>10</v>
      </c>
      <c r="I583" s="11">
        <f>MOD(H583,2)*4+FLOOR(H583/2,1)*6</f>
        <v>30</v>
      </c>
      <c r="J583" s="12">
        <f>I583+I584</f>
        <v>64</v>
      </c>
      <c r="K583" s="20"/>
      <c r="L583" s="13" t="str">
        <f>IF(R583&lt;=12,"有效","无效")</f>
        <v>有效</v>
      </c>
      <c r="M583" s="32" t="s">
        <v>1195</v>
      </c>
      <c r="N583" s="32"/>
      <c r="O583" s="32"/>
      <c r="P583" s="32"/>
      <c r="Q583" s="33"/>
      <c r="R583" s="10">
        <f>LEN(M583)</f>
        <v>6</v>
      </c>
      <c r="S583" s="10">
        <f>MOD(R583,2)*4+FLOOR(R583/2,1)*6</f>
        <v>18</v>
      </c>
      <c r="T583" s="12">
        <f>S583+S584</f>
        <v>34</v>
      </c>
    </row>
    <row r="584" spans="1:20" ht="20" customHeight="1">
      <c r="A584" s="22"/>
      <c r="B584" s="6" t="str">
        <f>IF(H584&lt;=12,"有效","无效")</f>
        <v>有效</v>
      </c>
      <c r="C584" s="34" t="s">
        <v>2146</v>
      </c>
      <c r="D584" s="35"/>
      <c r="E584" s="35"/>
      <c r="F584" s="35"/>
      <c r="G584" s="36"/>
      <c r="H584" s="4">
        <f>LEN(C584)</f>
        <v>11</v>
      </c>
      <c r="I584" s="11">
        <f>MOD(H584,2)*4+FLOOR(H584/2,1)*6</f>
        <v>34</v>
      </c>
      <c r="J584" s="12" t="str">
        <f>IF(J583&lt;I582,"有效","无效")</f>
        <v>有效</v>
      </c>
      <c r="K584" s="20"/>
      <c r="L584" s="6" t="str">
        <f>IF(R584&lt;=12,"有效","无效")</f>
        <v>有效</v>
      </c>
      <c r="M584" s="31" t="s">
        <v>1196</v>
      </c>
      <c r="N584" s="32"/>
      <c r="O584" s="32"/>
      <c r="P584" s="32"/>
      <c r="Q584" s="33"/>
      <c r="R584" s="10">
        <f>LEN(M584)</f>
        <v>5</v>
      </c>
      <c r="S584" s="10">
        <f>MOD(R584,2)*4+FLOOR(R584/2,1)*6</f>
        <v>16</v>
      </c>
      <c r="T584" s="12" t="str">
        <f>IF(T583&lt;I582,"有效","无效")</f>
        <v>有效</v>
      </c>
    </row>
    <row r="585" spans="1:20" ht="20" customHeight="1">
      <c r="A585" s="22"/>
      <c r="B585" s="6" t="str">
        <f>IF(H585&lt;=12,"有效","无效")</f>
        <v>有效</v>
      </c>
      <c r="C585" s="34" t="s">
        <v>2148</v>
      </c>
      <c r="D585" s="35"/>
      <c r="E585" s="35"/>
      <c r="F585" s="35"/>
      <c r="G585" s="36"/>
      <c r="H585" s="4">
        <f>LEN(C585)</f>
        <v>3</v>
      </c>
      <c r="I585" s="11">
        <f>MOD(H585,2)*4+FLOOR(H585/2,1)*6</f>
        <v>10</v>
      </c>
      <c r="J585" s="12">
        <f>I585+I586</f>
        <v>28</v>
      </c>
      <c r="K585" s="20"/>
      <c r="L585" s="6" t="str">
        <f>IF(R585&lt;=12,"有效","无效")</f>
        <v>有效</v>
      </c>
      <c r="M585" s="31" t="s">
        <v>1197</v>
      </c>
      <c r="N585" s="32"/>
      <c r="O585" s="32"/>
      <c r="P585" s="32"/>
      <c r="Q585" s="33"/>
      <c r="R585" s="10">
        <f>LEN(M585)</f>
        <v>4</v>
      </c>
      <c r="S585" s="10">
        <f>MOD(R585,2)*4+FLOOR(R585/2,1)*6</f>
        <v>12</v>
      </c>
      <c r="T585" s="12">
        <f>S585+S586</f>
        <v>36</v>
      </c>
    </row>
    <row r="586" spans="1:20" ht="20" customHeight="1">
      <c r="A586" s="22"/>
      <c r="B586" s="6" t="str">
        <f>IF(H586&lt;=12,"有效","无效")</f>
        <v>有效</v>
      </c>
      <c r="C586" s="34" t="s">
        <v>2147</v>
      </c>
      <c r="D586" s="35"/>
      <c r="E586" s="35"/>
      <c r="F586" s="35"/>
      <c r="G586" s="36"/>
      <c r="H586" s="4">
        <f>LEN(C586)</f>
        <v>6</v>
      </c>
      <c r="I586" s="11">
        <f>MOD(H586,2)*4+FLOOR(H586/2,1)*6</f>
        <v>18</v>
      </c>
      <c r="J586" s="12" t="str">
        <f>IF(J585&lt;I582,"有效","无效")</f>
        <v>有效</v>
      </c>
      <c r="K586" s="20"/>
      <c r="L586" s="6" t="str">
        <f>IF(R586&lt;=12,"有效","无效")</f>
        <v>有效</v>
      </c>
      <c r="M586" s="31" t="s">
        <v>1198</v>
      </c>
      <c r="N586" s="32"/>
      <c r="O586" s="32"/>
      <c r="P586" s="32"/>
      <c r="Q586" s="33"/>
      <c r="R586" s="10">
        <f>LEN(M586)</f>
        <v>8</v>
      </c>
      <c r="S586" s="10">
        <f>MOD(R586,2)*4+FLOOR(R586/2,1)*6</f>
        <v>24</v>
      </c>
      <c r="T586" s="12" t="str">
        <f>IF(T585&lt;I582,"有效","无效")</f>
        <v>有效</v>
      </c>
    </row>
    <row r="587" spans="1:20" ht="20" customHeight="1">
      <c r="A587" s="22">
        <v>118</v>
      </c>
      <c r="B587" s="23" t="s">
        <v>187</v>
      </c>
      <c r="C587" s="24" t="s">
        <v>188</v>
      </c>
      <c r="D587" s="14">
        <f>LEN($B587)</f>
        <v>3</v>
      </c>
      <c r="E587" s="14">
        <f>LEN(C587)+3</f>
        <v>5</v>
      </c>
      <c r="F587" s="14">
        <f>MOD(D587,2)*4+FLOOR(D587/2,1)*6</f>
        <v>10</v>
      </c>
      <c r="G587" s="14">
        <f>MOD(E587,2)*4+FLOOR(E587/2,1)*6</f>
        <v>16</v>
      </c>
      <c r="H587" s="14">
        <v>12</v>
      </c>
      <c r="I587" s="14">
        <f>108-H587-G587-F587</f>
        <v>70</v>
      </c>
    </row>
    <row r="588" spans="1:20" ht="20" customHeight="1">
      <c r="A588" s="22"/>
      <c r="B588" s="6" t="str">
        <f>IF(H588&lt;=12,"有效","无效")</f>
        <v>有效</v>
      </c>
      <c r="C588" s="31" t="s">
        <v>1199</v>
      </c>
      <c r="D588" s="32"/>
      <c r="E588" s="32"/>
      <c r="F588" s="32"/>
      <c r="G588" s="33"/>
      <c r="H588" s="4">
        <f>LEN(C588)</f>
        <v>9</v>
      </c>
      <c r="I588" s="11">
        <f>MOD(H588,2)*4+FLOOR(H588/2,1)*6</f>
        <v>28</v>
      </c>
      <c r="J588" s="12">
        <f>I588+I589</f>
        <v>46</v>
      </c>
      <c r="K588" s="20"/>
      <c r="L588" s="13" t="str">
        <f>IF(R588&lt;=12,"有效","无效")</f>
        <v>有效</v>
      </c>
      <c r="M588" s="35" t="s">
        <v>2301</v>
      </c>
      <c r="N588" s="35"/>
      <c r="O588" s="35"/>
      <c r="P588" s="35"/>
      <c r="Q588" s="36"/>
      <c r="R588" s="10">
        <f>LEN(M588)</f>
        <v>3</v>
      </c>
      <c r="S588" s="10">
        <f>MOD(R588,2)*4+FLOOR(R588/2,1)*6</f>
        <v>10</v>
      </c>
      <c r="T588" s="12">
        <f>S588+S589</f>
        <v>32</v>
      </c>
    </row>
    <row r="589" spans="1:20" ht="20" customHeight="1">
      <c r="A589" s="22"/>
      <c r="B589" s="6" t="str">
        <f>IF(H589&lt;=12,"有效","无效")</f>
        <v>有效</v>
      </c>
      <c r="C589" s="31" t="s">
        <v>1200</v>
      </c>
      <c r="D589" s="32"/>
      <c r="E589" s="32"/>
      <c r="F589" s="32"/>
      <c r="G589" s="33"/>
      <c r="H589" s="4">
        <f>LEN(C589)</f>
        <v>6</v>
      </c>
      <c r="I589" s="11">
        <f>MOD(H589,2)*4+FLOOR(H589/2,1)*6</f>
        <v>18</v>
      </c>
      <c r="J589" s="12" t="str">
        <f>IF(J588&lt;I587,"有效","无效")</f>
        <v>有效</v>
      </c>
      <c r="K589" s="20"/>
      <c r="L589" s="6" t="str">
        <f>IF(R589&lt;=12,"有效","无效")</f>
        <v>有效</v>
      </c>
      <c r="M589" s="34" t="s">
        <v>2302</v>
      </c>
      <c r="N589" s="35"/>
      <c r="O589" s="35"/>
      <c r="P589" s="35"/>
      <c r="Q589" s="36"/>
      <c r="R589" s="10">
        <f>LEN(M589)</f>
        <v>7</v>
      </c>
      <c r="S589" s="10">
        <f>MOD(R589,2)*4+FLOOR(R589/2,1)*6</f>
        <v>22</v>
      </c>
      <c r="T589" s="12" t="str">
        <f>IF(T588&lt;I587,"有效","无效")</f>
        <v>有效</v>
      </c>
    </row>
    <row r="590" spans="1:20" ht="20" customHeight="1">
      <c r="A590" s="22"/>
      <c r="B590" s="6" t="str">
        <f>IF(H590&lt;=12,"有效","无效")</f>
        <v>有效</v>
      </c>
      <c r="C590" s="31" t="s">
        <v>1201</v>
      </c>
      <c r="D590" s="32"/>
      <c r="E590" s="32"/>
      <c r="F590" s="32"/>
      <c r="G590" s="33"/>
      <c r="H590" s="4">
        <f>LEN(C590)</f>
        <v>6</v>
      </c>
      <c r="I590" s="11">
        <f>MOD(H590,2)*4+FLOOR(H590/2,1)*6</f>
        <v>18</v>
      </c>
      <c r="J590" s="12">
        <f>I590+I591</f>
        <v>36</v>
      </c>
      <c r="K590" s="20"/>
      <c r="L590" s="6" t="str">
        <f>IF(R590&lt;=12,"有效","无效")</f>
        <v>有效</v>
      </c>
      <c r="M590" s="34" t="s">
        <v>2303</v>
      </c>
      <c r="N590" s="35"/>
      <c r="O590" s="35"/>
      <c r="P590" s="35"/>
      <c r="Q590" s="36"/>
      <c r="R590" s="10">
        <f>LEN(M590)</f>
        <v>8</v>
      </c>
      <c r="S590" s="10">
        <f>MOD(R590,2)*4+FLOOR(R590/2,1)*6</f>
        <v>24</v>
      </c>
      <c r="T590" s="12">
        <f>S590+S591</f>
        <v>52</v>
      </c>
    </row>
    <row r="591" spans="1:20" ht="20" customHeight="1">
      <c r="A591" s="22"/>
      <c r="B591" s="6" t="str">
        <f>IF(H591&lt;=12,"有效","无效")</f>
        <v>有效</v>
      </c>
      <c r="C591" s="31" t="s">
        <v>1202</v>
      </c>
      <c r="D591" s="32"/>
      <c r="E591" s="32"/>
      <c r="F591" s="32"/>
      <c r="G591" s="33"/>
      <c r="H591" s="4">
        <f>LEN(C591)</f>
        <v>6</v>
      </c>
      <c r="I591" s="11">
        <f>MOD(H591,2)*4+FLOOR(H591/2,1)*6</f>
        <v>18</v>
      </c>
      <c r="J591" s="12" t="str">
        <f>IF(J590&lt;I587,"有效","无效")</f>
        <v>有效</v>
      </c>
      <c r="K591" s="20"/>
      <c r="L591" s="6" t="str">
        <f>IF(R591&lt;=12,"有效","无效")</f>
        <v>有效</v>
      </c>
      <c r="M591" s="34" t="s">
        <v>1203</v>
      </c>
      <c r="N591" s="35"/>
      <c r="O591" s="35"/>
      <c r="P591" s="35"/>
      <c r="Q591" s="36"/>
      <c r="R591" s="10">
        <f>LEN(M591)</f>
        <v>9</v>
      </c>
      <c r="S591" s="10">
        <f>MOD(R591,2)*4+FLOOR(R591/2,1)*6</f>
        <v>28</v>
      </c>
      <c r="T591" s="12" t="str">
        <f>IF(T590&lt;I587,"有效","无效")</f>
        <v>有效</v>
      </c>
    </row>
    <row r="592" spans="1:20" ht="20" customHeight="1">
      <c r="A592" s="22">
        <v>119</v>
      </c>
      <c r="B592" s="23" t="s">
        <v>189</v>
      </c>
      <c r="C592" s="24" t="s">
        <v>188</v>
      </c>
      <c r="D592" s="14">
        <f>LEN($B592)</f>
        <v>3</v>
      </c>
      <c r="E592" s="14">
        <f>LEN(C592)+3</f>
        <v>5</v>
      </c>
      <c r="F592" s="14">
        <f>MOD(D592,2)*4+FLOOR(D592/2,1)*6</f>
        <v>10</v>
      </c>
      <c r="G592" s="14">
        <f>MOD(E592,2)*4+FLOOR(E592/2,1)*6</f>
        <v>16</v>
      </c>
      <c r="H592" s="14">
        <v>12</v>
      </c>
      <c r="I592" s="14">
        <f>108-H592-G592-F592</f>
        <v>70</v>
      </c>
      <c r="J592" s="30"/>
    </row>
    <row r="593" spans="1:20" ht="20" customHeight="1">
      <c r="A593" s="22"/>
      <c r="B593" s="6" t="str">
        <f>IF(H593&lt;=12,"有效","无效")</f>
        <v>有效</v>
      </c>
      <c r="C593" s="34" t="s">
        <v>2149</v>
      </c>
      <c r="D593" s="35"/>
      <c r="E593" s="35"/>
      <c r="F593" s="35"/>
      <c r="G593" s="36"/>
      <c r="H593" s="4">
        <f>LEN(C593)</f>
        <v>9</v>
      </c>
      <c r="I593" s="11">
        <f>MOD(H593,2)*4+FLOOR(H593/2,1)*6</f>
        <v>28</v>
      </c>
      <c r="J593" s="12">
        <f>I593+I594</f>
        <v>62</v>
      </c>
      <c r="K593" s="20"/>
      <c r="L593" s="13" t="str">
        <f>IF(R593&lt;=12,"有效","无效")</f>
        <v>有效</v>
      </c>
      <c r="M593" s="32" t="s">
        <v>2403</v>
      </c>
      <c r="N593" s="32"/>
      <c r="O593" s="32"/>
      <c r="P593" s="32"/>
      <c r="Q593" s="33"/>
      <c r="R593" s="10">
        <f>LEN(M593)</f>
        <v>9</v>
      </c>
      <c r="S593" s="10">
        <f>MOD(R593,2)*4+FLOOR(R593/2,1)*6</f>
        <v>28</v>
      </c>
      <c r="T593" s="12">
        <f>S593+S594</f>
        <v>62</v>
      </c>
    </row>
    <row r="594" spans="1:20" ht="20" customHeight="1">
      <c r="A594" s="22"/>
      <c r="B594" s="6" t="str">
        <f>IF(H594&lt;=12,"有效","无效")</f>
        <v>有效</v>
      </c>
      <c r="C594" s="34" t="s">
        <v>2150</v>
      </c>
      <c r="D594" s="35"/>
      <c r="E594" s="35"/>
      <c r="F594" s="35"/>
      <c r="G594" s="36"/>
      <c r="H594" s="4">
        <f>LEN(C594)</f>
        <v>11</v>
      </c>
      <c r="I594" s="11">
        <f>MOD(H594,2)*4+FLOOR(H594/2,1)*6</f>
        <v>34</v>
      </c>
      <c r="J594" s="12" t="str">
        <f>IF(J593&lt;I592,"有效","无效")</f>
        <v>有效</v>
      </c>
      <c r="K594" s="20"/>
      <c r="L594" s="6" t="str">
        <f>IF(R594&lt;=12,"有效","无效")</f>
        <v>有效</v>
      </c>
      <c r="M594" s="31" t="s">
        <v>2402</v>
      </c>
      <c r="N594" s="32"/>
      <c r="O594" s="32"/>
      <c r="P594" s="32"/>
      <c r="Q594" s="33"/>
      <c r="R594" s="10">
        <f>LEN(M594)</f>
        <v>11</v>
      </c>
      <c r="S594" s="10">
        <f>MOD(R594,2)*4+FLOOR(R594/2,1)*6</f>
        <v>34</v>
      </c>
      <c r="T594" s="12" t="str">
        <f>IF(T593&lt;I592,"有效","无效")</f>
        <v>有效</v>
      </c>
    </row>
    <row r="595" spans="1:20" ht="20" customHeight="1">
      <c r="A595" s="22"/>
      <c r="B595" s="6" t="str">
        <f>IF(H595&lt;=12,"有效","无效")</f>
        <v>有效</v>
      </c>
      <c r="C595" s="34" t="s">
        <v>2152</v>
      </c>
      <c r="D595" s="35"/>
      <c r="E595" s="35"/>
      <c r="F595" s="35"/>
      <c r="G595" s="36"/>
      <c r="H595" s="4">
        <f>LEN(C595)</f>
        <v>5</v>
      </c>
      <c r="I595" s="11">
        <f>MOD(H595,2)*4+FLOOR(H595/2,1)*6</f>
        <v>16</v>
      </c>
      <c r="J595" s="12">
        <f>I595+I596</f>
        <v>32</v>
      </c>
      <c r="K595" s="20"/>
      <c r="L595" s="6" t="str">
        <f>IF(R595&lt;=12,"有效","无效")</f>
        <v>有效</v>
      </c>
      <c r="M595" s="31" t="s">
        <v>1205</v>
      </c>
      <c r="N595" s="32"/>
      <c r="O595" s="32"/>
      <c r="P595" s="32"/>
      <c r="Q595" s="33"/>
      <c r="R595" s="10">
        <f>LEN(M595)</f>
        <v>5</v>
      </c>
      <c r="S595" s="10">
        <f>MOD(R595,2)*4+FLOOR(R595/2,1)*6</f>
        <v>16</v>
      </c>
      <c r="T595" s="12">
        <f>S595+S596</f>
        <v>46</v>
      </c>
    </row>
    <row r="596" spans="1:20" ht="20" customHeight="1">
      <c r="A596" s="22"/>
      <c r="B596" s="6" t="str">
        <f>IF(H596&lt;=12,"有效","无效")</f>
        <v>有效</v>
      </c>
      <c r="C596" s="34" t="s">
        <v>2151</v>
      </c>
      <c r="D596" s="35"/>
      <c r="E596" s="35"/>
      <c r="F596" s="35"/>
      <c r="G596" s="36"/>
      <c r="H596" s="4">
        <f>LEN(C596)</f>
        <v>5</v>
      </c>
      <c r="I596" s="11">
        <f>MOD(H596,2)*4+FLOOR(H596/2,1)*6</f>
        <v>16</v>
      </c>
      <c r="J596" s="12" t="str">
        <f>IF(J595&lt;I592,"有效","无效")</f>
        <v>有效</v>
      </c>
      <c r="K596" s="20"/>
      <c r="L596" s="6" t="str">
        <f>IF(R596&lt;=12,"有效","无效")</f>
        <v>有效</v>
      </c>
      <c r="M596" s="31" t="s">
        <v>1206</v>
      </c>
      <c r="N596" s="32"/>
      <c r="O596" s="32"/>
      <c r="P596" s="32"/>
      <c r="Q596" s="33"/>
      <c r="R596" s="10">
        <f>LEN(M596)</f>
        <v>10</v>
      </c>
      <c r="S596" s="10">
        <f>MOD(R596,2)*4+FLOOR(R596/2,1)*6</f>
        <v>30</v>
      </c>
      <c r="T596" s="12" t="str">
        <f>IF(T595&lt;I592,"有效","无效")</f>
        <v>有效</v>
      </c>
    </row>
    <row r="597" spans="1:20" ht="20" customHeight="1">
      <c r="A597" s="22">
        <v>120</v>
      </c>
      <c r="B597" s="23" t="s">
        <v>190</v>
      </c>
      <c r="C597" s="24" t="s">
        <v>191</v>
      </c>
      <c r="D597" s="14">
        <f>LEN($B597)</f>
        <v>3</v>
      </c>
      <c r="E597" s="14">
        <f>LEN(C597)+3</f>
        <v>5</v>
      </c>
      <c r="F597" s="14">
        <f>MOD(D597,2)*4+FLOOR(D597/2,1)*6</f>
        <v>10</v>
      </c>
      <c r="G597" s="14">
        <f>MOD(E597,2)*4+FLOOR(E597/2,1)*6</f>
        <v>16</v>
      </c>
      <c r="H597" s="14">
        <v>12</v>
      </c>
      <c r="I597" s="14">
        <f>108-H597-G597-F597</f>
        <v>70</v>
      </c>
    </row>
    <row r="598" spans="1:20" ht="20" customHeight="1">
      <c r="A598" s="22"/>
      <c r="B598" s="6" t="str">
        <f>IF(H598&lt;=12,"有效","无效")</f>
        <v>有效</v>
      </c>
      <c r="C598" s="34" t="s">
        <v>1211</v>
      </c>
      <c r="D598" s="35"/>
      <c r="E598" s="35"/>
      <c r="F598" s="35"/>
      <c r="G598" s="36"/>
      <c r="H598" s="4">
        <f>LEN(C598)</f>
        <v>5</v>
      </c>
      <c r="I598" s="11">
        <f>MOD(H598,2)*4+FLOOR(H598/2,1)*6</f>
        <v>16</v>
      </c>
      <c r="J598" s="12">
        <f>I598+I599</f>
        <v>38</v>
      </c>
      <c r="K598" s="20"/>
      <c r="L598" s="13" t="str">
        <f>IF(R598&lt;=12,"有效","无效")</f>
        <v>有效</v>
      </c>
      <c r="M598" s="32" t="s">
        <v>1207</v>
      </c>
      <c r="N598" s="32"/>
      <c r="O598" s="32"/>
      <c r="P598" s="32"/>
      <c r="Q598" s="33"/>
      <c r="R598" s="10">
        <f>LEN(M598)</f>
        <v>6</v>
      </c>
      <c r="S598" s="10">
        <f>MOD(R598,2)*4+FLOOR(R598/2,1)*6</f>
        <v>18</v>
      </c>
      <c r="T598" s="12">
        <f>S598+S599</f>
        <v>48</v>
      </c>
    </row>
    <row r="599" spans="1:20" ht="20" customHeight="1">
      <c r="A599" s="22"/>
      <c r="B599" s="6" t="str">
        <f>IF(H599&lt;=12,"有效","无效")</f>
        <v>有效</v>
      </c>
      <c r="C599" s="34" t="s">
        <v>1212</v>
      </c>
      <c r="D599" s="35"/>
      <c r="E599" s="35"/>
      <c r="F599" s="35"/>
      <c r="G599" s="36"/>
      <c r="H599" s="4">
        <f>LEN(C599)</f>
        <v>7</v>
      </c>
      <c r="I599" s="11">
        <f>MOD(H599,2)*4+FLOOR(H599/2,1)*6</f>
        <v>22</v>
      </c>
      <c r="J599" s="12" t="str">
        <f>IF(J598&lt;I597,"有效","无效")</f>
        <v>有效</v>
      </c>
      <c r="K599" s="20"/>
      <c r="L599" s="6" t="str">
        <f>IF(R599&lt;=12,"有效","无效")</f>
        <v>有效</v>
      </c>
      <c r="M599" s="31" t="s">
        <v>1208</v>
      </c>
      <c r="N599" s="32"/>
      <c r="O599" s="32"/>
      <c r="P599" s="32"/>
      <c r="Q599" s="33"/>
      <c r="R599" s="10">
        <f>LEN(M599)</f>
        <v>10</v>
      </c>
      <c r="S599" s="10">
        <f>MOD(R599,2)*4+FLOOR(R599/2,1)*6</f>
        <v>30</v>
      </c>
      <c r="T599" s="12" t="str">
        <f>IF(T598&lt;I597,"有效","无效")</f>
        <v>有效</v>
      </c>
    </row>
    <row r="600" spans="1:20" ht="20" customHeight="1">
      <c r="A600" s="22"/>
      <c r="B600" s="6" t="str">
        <f>IF(H600&lt;=12,"有效","无效")</f>
        <v>有效</v>
      </c>
      <c r="C600" s="34" t="s">
        <v>1213</v>
      </c>
      <c r="D600" s="35"/>
      <c r="E600" s="35"/>
      <c r="F600" s="35"/>
      <c r="G600" s="36"/>
      <c r="H600" s="4">
        <f>LEN(C600)</f>
        <v>10</v>
      </c>
      <c r="I600" s="11">
        <f>MOD(H600,2)*4+FLOOR(H600/2,1)*6</f>
        <v>30</v>
      </c>
      <c r="J600" s="12">
        <f>I600+I601</f>
        <v>48</v>
      </c>
      <c r="K600" s="20"/>
      <c r="L600" s="6" t="str">
        <f>IF(R600&lt;=12,"有效","无效")</f>
        <v>有效</v>
      </c>
      <c r="M600" s="31" t="s">
        <v>1209</v>
      </c>
      <c r="N600" s="32"/>
      <c r="O600" s="32"/>
      <c r="P600" s="32"/>
      <c r="Q600" s="33"/>
      <c r="R600" s="10">
        <f>LEN(M600)</f>
        <v>7</v>
      </c>
      <c r="S600" s="10">
        <f>MOD(R600,2)*4+FLOOR(R600/2,1)*6</f>
        <v>22</v>
      </c>
      <c r="T600" s="12">
        <f>S600+S601</f>
        <v>40</v>
      </c>
    </row>
    <row r="601" spans="1:20" ht="20" customHeight="1">
      <c r="A601" s="22"/>
      <c r="B601" s="6" t="str">
        <f>IF(H601&lt;=12,"有效","无效")</f>
        <v>有效</v>
      </c>
      <c r="C601" s="34" t="s">
        <v>1214</v>
      </c>
      <c r="D601" s="35"/>
      <c r="E601" s="35"/>
      <c r="F601" s="35"/>
      <c r="G601" s="36"/>
      <c r="H601" s="4">
        <f>LEN(C601)</f>
        <v>6</v>
      </c>
      <c r="I601" s="11">
        <f>MOD(H601,2)*4+FLOOR(H601/2,1)*6</f>
        <v>18</v>
      </c>
      <c r="J601" s="12" t="str">
        <f>IF(J600&lt;I597,"有效","无效")</f>
        <v>有效</v>
      </c>
      <c r="K601" s="20"/>
      <c r="L601" s="6" t="str">
        <f>IF(R601&lt;=12,"有效","无效")</f>
        <v>有效</v>
      </c>
      <c r="M601" s="31" t="s">
        <v>1210</v>
      </c>
      <c r="N601" s="32"/>
      <c r="O601" s="32"/>
      <c r="P601" s="32"/>
      <c r="Q601" s="33"/>
      <c r="R601" s="10">
        <f>LEN(M601)</f>
        <v>6</v>
      </c>
      <c r="S601" s="10">
        <f>MOD(R601,2)*4+FLOOR(R601/2,1)*6</f>
        <v>18</v>
      </c>
      <c r="T601" s="12" t="str">
        <f>IF(T600&lt;I597,"有效","无效")</f>
        <v>有效</v>
      </c>
    </row>
    <row r="602" spans="1:20" ht="20" customHeight="1">
      <c r="A602" s="22">
        <v>121</v>
      </c>
      <c r="B602" s="23" t="s">
        <v>192</v>
      </c>
      <c r="C602" s="24" t="s">
        <v>193</v>
      </c>
      <c r="D602" s="14">
        <f>LEN($B602)</f>
        <v>4</v>
      </c>
      <c r="E602" s="14">
        <f>LEN(C602)+3</f>
        <v>4</v>
      </c>
      <c r="F602" s="14">
        <f>MOD(D602,2)*4+FLOOR(D602/2,1)*6</f>
        <v>12</v>
      </c>
      <c r="G602" s="14">
        <f>MOD(E602,2)*4+FLOOR(E602/2,1)*6</f>
        <v>12</v>
      </c>
      <c r="H602" s="14">
        <v>12</v>
      </c>
      <c r="I602" s="14">
        <f>108-H602-G602-F602</f>
        <v>72</v>
      </c>
    </row>
    <row r="603" spans="1:20" ht="20" customHeight="1">
      <c r="A603" s="22"/>
      <c r="B603" s="6" t="str">
        <f>IF(H603&lt;=12,"有效","无效")</f>
        <v>有效</v>
      </c>
      <c r="C603" s="34" t="s">
        <v>1215</v>
      </c>
      <c r="D603" s="35"/>
      <c r="E603" s="35"/>
      <c r="F603" s="35"/>
      <c r="G603" s="36"/>
      <c r="H603" s="4">
        <f>LEN(C603)</f>
        <v>7</v>
      </c>
      <c r="I603" s="11">
        <f>MOD(H603,2)*4+FLOOR(H603/2,1)*6</f>
        <v>22</v>
      </c>
      <c r="J603" s="12">
        <f>I603+I604</f>
        <v>40</v>
      </c>
      <c r="K603" s="20"/>
      <c r="L603" s="13" t="str">
        <f>IF(R603&lt;=12,"有效","无效")</f>
        <v>有效</v>
      </c>
      <c r="M603" s="35" t="s">
        <v>1219</v>
      </c>
      <c r="N603" s="35"/>
      <c r="O603" s="35"/>
      <c r="P603" s="35"/>
      <c r="Q603" s="36"/>
      <c r="R603" s="10">
        <f>LEN(M603)</f>
        <v>9</v>
      </c>
      <c r="S603" s="10">
        <f>MOD(R603,2)*4+FLOOR(R603/2,1)*6</f>
        <v>28</v>
      </c>
      <c r="T603" s="12">
        <f>S603+S604</f>
        <v>46</v>
      </c>
    </row>
    <row r="604" spans="1:20" ht="20" customHeight="1">
      <c r="A604" s="22"/>
      <c r="B604" s="6" t="str">
        <f>IF(H604&lt;=12,"有效","无效")</f>
        <v>有效</v>
      </c>
      <c r="C604" s="34" t="s">
        <v>1216</v>
      </c>
      <c r="D604" s="35"/>
      <c r="E604" s="35"/>
      <c r="F604" s="35"/>
      <c r="G604" s="36"/>
      <c r="H604" s="4">
        <f>LEN(C604)</f>
        <v>6</v>
      </c>
      <c r="I604" s="11">
        <f>MOD(H604,2)*4+FLOOR(H604/2,1)*6</f>
        <v>18</v>
      </c>
      <c r="J604" s="12" t="str">
        <f>IF(J603&lt;I602,"有效","无效")</f>
        <v>有效</v>
      </c>
      <c r="K604" s="20"/>
      <c r="L604" s="6" t="str">
        <f>IF(R604&lt;=12,"有效","无效")</f>
        <v>有效</v>
      </c>
      <c r="M604" s="34" t="s">
        <v>1220</v>
      </c>
      <c r="N604" s="35"/>
      <c r="O604" s="35"/>
      <c r="P604" s="35"/>
      <c r="Q604" s="36"/>
      <c r="R604" s="10">
        <f>LEN(M604)</f>
        <v>6</v>
      </c>
      <c r="S604" s="10">
        <f>MOD(R604,2)*4+FLOOR(R604/2,1)*6</f>
        <v>18</v>
      </c>
      <c r="T604" s="12" t="str">
        <f>IF(T603&lt;I602,"有效","无效")</f>
        <v>有效</v>
      </c>
    </row>
    <row r="605" spans="1:20" ht="20" customHeight="1">
      <c r="A605" s="22"/>
      <c r="B605" s="6" t="str">
        <f>IF(H605&lt;=12,"有效","无效")</f>
        <v>有效</v>
      </c>
      <c r="C605" s="34" t="s">
        <v>1217</v>
      </c>
      <c r="D605" s="35"/>
      <c r="E605" s="35"/>
      <c r="F605" s="35"/>
      <c r="G605" s="36"/>
      <c r="H605" s="4">
        <f>LEN(C605)</f>
        <v>7</v>
      </c>
      <c r="I605" s="11">
        <f>MOD(H605,2)*4+FLOOR(H605/2,1)*6</f>
        <v>22</v>
      </c>
      <c r="J605" s="12">
        <f>I605+I606</f>
        <v>50</v>
      </c>
      <c r="K605" s="20"/>
      <c r="L605" s="6" t="str">
        <f>IF(R605&lt;=12,"有效","无效")</f>
        <v>有效</v>
      </c>
      <c r="M605" s="34" t="s">
        <v>1221</v>
      </c>
      <c r="N605" s="35"/>
      <c r="O605" s="35"/>
      <c r="P605" s="35"/>
      <c r="Q605" s="36"/>
      <c r="R605" s="10">
        <f>LEN(M605)</f>
        <v>9</v>
      </c>
      <c r="S605" s="10">
        <f>MOD(R605,2)*4+FLOOR(R605/2,1)*6</f>
        <v>28</v>
      </c>
      <c r="T605" s="12">
        <f>S605+S606</f>
        <v>52</v>
      </c>
    </row>
    <row r="606" spans="1:20" ht="20" customHeight="1">
      <c r="A606" s="22"/>
      <c r="B606" s="6" t="str">
        <f>IF(H606&lt;=12,"有效","无效")</f>
        <v>有效</v>
      </c>
      <c r="C606" s="34" t="s">
        <v>1218</v>
      </c>
      <c r="D606" s="35"/>
      <c r="E606" s="35"/>
      <c r="F606" s="35"/>
      <c r="G606" s="36"/>
      <c r="H606" s="4">
        <f>LEN(C606)</f>
        <v>9</v>
      </c>
      <c r="I606" s="11">
        <f>MOD(H606,2)*4+FLOOR(H606/2,1)*6</f>
        <v>28</v>
      </c>
      <c r="J606" s="12" t="str">
        <f>IF(J605&lt;I602,"有效","无效")</f>
        <v>有效</v>
      </c>
      <c r="K606" s="20"/>
      <c r="L606" s="6" t="str">
        <f>IF(R606&lt;=12,"有效","无效")</f>
        <v>有效</v>
      </c>
      <c r="M606" s="34" t="s">
        <v>1222</v>
      </c>
      <c r="N606" s="35"/>
      <c r="O606" s="35"/>
      <c r="P606" s="35"/>
      <c r="Q606" s="36"/>
      <c r="R606" s="10">
        <f>LEN(M606)</f>
        <v>8</v>
      </c>
      <c r="S606" s="10">
        <f>MOD(R606,2)*4+FLOOR(R606/2,1)*6</f>
        <v>24</v>
      </c>
      <c r="T606" s="12" t="str">
        <f>IF(T605&lt;I602,"有效","无效")</f>
        <v>有效</v>
      </c>
    </row>
    <row r="607" spans="1:20" ht="20" customHeight="1">
      <c r="A607" s="22">
        <v>122</v>
      </c>
      <c r="B607" s="23" t="s">
        <v>194</v>
      </c>
      <c r="C607" s="24" t="s">
        <v>195</v>
      </c>
      <c r="D607" s="14">
        <f>LEN($B607)</f>
        <v>4</v>
      </c>
      <c r="E607" s="14">
        <f>LEN(C607)+3</f>
        <v>5</v>
      </c>
      <c r="F607" s="14">
        <f>MOD(D607,2)*4+FLOOR(D607/2,1)*6</f>
        <v>12</v>
      </c>
      <c r="G607" s="14">
        <f>MOD(E607,2)*4+FLOOR(E607/2,1)*6</f>
        <v>16</v>
      </c>
      <c r="H607" s="14">
        <v>12</v>
      </c>
      <c r="I607" s="14">
        <f>108-H607-G607-F607</f>
        <v>68</v>
      </c>
    </row>
    <row r="608" spans="1:20" ht="20" customHeight="1">
      <c r="A608" s="22"/>
      <c r="B608" s="6" t="str">
        <f>IF(H608&lt;=12,"有效","无效")</f>
        <v>有效</v>
      </c>
      <c r="C608" s="34" t="s">
        <v>1223</v>
      </c>
      <c r="D608" s="35"/>
      <c r="E608" s="35"/>
      <c r="F608" s="35"/>
      <c r="G608" s="36"/>
      <c r="H608" s="4">
        <f>LEN(C608)</f>
        <v>10</v>
      </c>
      <c r="I608" s="11">
        <f>MOD(H608,2)*4+FLOOR(H608/2,1)*6</f>
        <v>30</v>
      </c>
      <c r="J608" s="12">
        <f>I608+I609</f>
        <v>42</v>
      </c>
      <c r="K608" s="20"/>
      <c r="L608" s="13" t="str">
        <f>IF(R608&lt;=12,"有效","无效")</f>
        <v>有效</v>
      </c>
      <c r="M608" s="35" t="s">
        <v>1227</v>
      </c>
      <c r="N608" s="35"/>
      <c r="O608" s="35"/>
      <c r="P608" s="35"/>
      <c r="Q608" s="36"/>
      <c r="R608" s="10">
        <f>LEN(M608)</f>
        <v>6</v>
      </c>
      <c r="S608" s="10">
        <f>MOD(R608,2)*4+FLOOR(R608/2,1)*6</f>
        <v>18</v>
      </c>
      <c r="T608" s="12">
        <f>S608+S609</f>
        <v>52</v>
      </c>
    </row>
    <row r="609" spans="1:20" ht="20" customHeight="1">
      <c r="A609" s="22"/>
      <c r="B609" s="6" t="str">
        <f>IF(H609&lt;=12,"有效","无效")</f>
        <v>有效</v>
      </c>
      <c r="C609" s="34" t="s">
        <v>1224</v>
      </c>
      <c r="D609" s="35"/>
      <c r="E609" s="35"/>
      <c r="F609" s="35"/>
      <c r="G609" s="36"/>
      <c r="H609" s="4">
        <f>LEN(C609)</f>
        <v>4</v>
      </c>
      <c r="I609" s="11">
        <f>MOD(H609,2)*4+FLOOR(H609/2,1)*6</f>
        <v>12</v>
      </c>
      <c r="J609" s="12" t="str">
        <f>IF(J608&lt;I607,"有效","无效")</f>
        <v>有效</v>
      </c>
      <c r="K609" s="20"/>
      <c r="L609" s="6" t="str">
        <f>IF(R609&lt;=12,"有效","无效")</f>
        <v>有效</v>
      </c>
      <c r="M609" s="34" t="s">
        <v>1228</v>
      </c>
      <c r="N609" s="35"/>
      <c r="O609" s="35"/>
      <c r="P609" s="35"/>
      <c r="Q609" s="36"/>
      <c r="R609" s="10">
        <f>LEN(M609)</f>
        <v>11</v>
      </c>
      <c r="S609" s="10">
        <f>MOD(R609,2)*4+FLOOR(R609/2,1)*6</f>
        <v>34</v>
      </c>
      <c r="T609" s="12" t="str">
        <f>IF(T608&lt;I607,"有效","无效")</f>
        <v>有效</v>
      </c>
    </row>
    <row r="610" spans="1:20" ht="20" customHeight="1">
      <c r="A610" s="22"/>
      <c r="B610" s="6" t="str">
        <f>IF(H610&lt;=12,"有效","无效")</f>
        <v>有效</v>
      </c>
      <c r="C610" s="34" t="s">
        <v>1226</v>
      </c>
      <c r="D610" s="35"/>
      <c r="E610" s="35"/>
      <c r="F610" s="35"/>
      <c r="G610" s="36"/>
      <c r="H610" s="4">
        <f>LEN(C610)</f>
        <v>10</v>
      </c>
      <c r="I610" s="11">
        <f>MOD(H610,2)*4+FLOOR(H610/2,1)*6</f>
        <v>30</v>
      </c>
      <c r="J610" s="12">
        <f>I610+I611</f>
        <v>66</v>
      </c>
      <c r="K610" s="20"/>
      <c r="L610" s="6" t="str">
        <f>IF(R610&lt;=12,"有效","无效")</f>
        <v>有效</v>
      </c>
      <c r="M610" s="34" t="s">
        <v>1229</v>
      </c>
      <c r="N610" s="35"/>
      <c r="O610" s="35"/>
      <c r="P610" s="35"/>
      <c r="Q610" s="36"/>
      <c r="R610" s="10">
        <f>LEN(M610)</f>
        <v>3</v>
      </c>
      <c r="S610" s="10">
        <f>MOD(R610,2)*4+FLOOR(R610/2,1)*6</f>
        <v>10</v>
      </c>
      <c r="T610" s="12">
        <f>S610+S611</f>
        <v>28</v>
      </c>
    </row>
    <row r="611" spans="1:20" ht="20" customHeight="1">
      <c r="A611" s="22"/>
      <c r="B611" s="6" t="str">
        <f>IF(H611&lt;=12,"有效","无效")</f>
        <v>有效</v>
      </c>
      <c r="C611" s="34" t="s">
        <v>1225</v>
      </c>
      <c r="D611" s="35"/>
      <c r="E611" s="35"/>
      <c r="F611" s="35"/>
      <c r="G611" s="36"/>
      <c r="H611" s="4">
        <f>LEN(C611)</f>
        <v>12</v>
      </c>
      <c r="I611" s="11">
        <f>MOD(H611,2)*4+FLOOR(H611/2,1)*6</f>
        <v>36</v>
      </c>
      <c r="J611" s="12" t="str">
        <f>IF(J610&lt;I607,"有效","无效")</f>
        <v>有效</v>
      </c>
      <c r="K611" s="20"/>
      <c r="L611" s="6" t="str">
        <f>IF(R611&lt;=12,"有效","无效")</f>
        <v>有效</v>
      </c>
      <c r="M611" s="34" t="s">
        <v>1230</v>
      </c>
      <c r="N611" s="35"/>
      <c r="O611" s="35"/>
      <c r="P611" s="35"/>
      <c r="Q611" s="36"/>
      <c r="R611" s="10">
        <f>LEN(M611)</f>
        <v>6</v>
      </c>
      <c r="S611" s="10">
        <f>MOD(R611,2)*4+FLOOR(R611/2,1)*6</f>
        <v>18</v>
      </c>
      <c r="T611" s="12" t="str">
        <f>IF(T610&lt;I607,"有效","无效")</f>
        <v>有效</v>
      </c>
    </row>
    <row r="612" spans="1:20" ht="20" customHeight="1">
      <c r="A612" s="22">
        <v>123</v>
      </c>
      <c r="B612" s="23" t="s">
        <v>196</v>
      </c>
      <c r="C612" s="24" t="s">
        <v>197</v>
      </c>
      <c r="D612" s="14">
        <f>LEN($B612)</f>
        <v>4</v>
      </c>
      <c r="E612" s="14">
        <f>LEN(C612)+3</f>
        <v>5</v>
      </c>
      <c r="F612" s="14">
        <f>MOD(D612,2)*4+FLOOR(D612/2,1)*6</f>
        <v>12</v>
      </c>
      <c r="G612" s="14">
        <f>MOD(E612,2)*4+FLOOR(E612/2,1)*6</f>
        <v>16</v>
      </c>
      <c r="H612" s="14">
        <v>12</v>
      </c>
      <c r="I612" s="14">
        <f>108-H612-G612-F612</f>
        <v>68</v>
      </c>
    </row>
    <row r="613" spans="1:20" ht="20" customHeight="1">
      <c r="A613" s="22"/>
      <c r="B613" s="6" t="str">
        <f>IF(H613&lt;=12,"有效","无效")</f>
        <v>有效</v>
      </c>
      <c r="C613" s="31" t="s">
        <v>1231</v>
      </c>
      <c r="D613" s="32"/>
      <c r="E613" s="32"/>
      <c r="F613" s="32"/>
      <c r="G613" s="33"/>
      <c r="H613" s="4">
        <f>LEN(C613)</f>
        <v>7</v>
      </c>
      <c r="I613" s="11">
        <f>MOD(H613,2)*4+FLOOR(H613/2,1)*6</f>
        <v>22</v>
      </c>
      <c r="J613" s="12">
        <f>I613+I614</f>
        <v>44</v>
      </c>
      <c r="K613" s="20"/>
      <c r="L613" s="13" t="str">
        <f>IF(R613&lt;=12,"有效","无效")</f>
        <v>有效</v>
      </c>
      <c r="M613" s="35" t="s">
        <v>1235</v>
      </c>
      <c r="N613" s="35"/>
      <c r="O613" s="35"/>
      <c r="P613" s="35"/>
      <c r="Q613" s="36"/>
      <c r="R613" s="10">
        <f>LEN(M613)</f>
        <v>4</v>
      </c>
      <c r="S613" s="10">
        <f>MOD(R613,2)*4+FLOOR(R613/2,1)*6</f>
        <v>12</v>
      </c>
      <c r="T613" s="12">
        <f>S613+S614</f>
        <v>36</v>
      </c>
    </row>
    <row r="614" spans="1:20" ht="20" customHeight="1">
      <c r="A614" s="22"/>
      <c r="B614" s="6" t="str">
        <f>IF(H614&lt;=12,"有效","无效")</f>
        <v>有效</v>
      </c>
      <c r="C614" s="31" t="s">
        <v>1232</v>
      </c>
      <c r="D614" s="32"/>
      <c r="E614" s="32"/>
      <c r="F614" s="32"/>
      <c r="G614" s="33"/>
      <c r="H614" s="4">
        <f>LEN(C614)</f>
        <v>7</v>
      </c>
      <c r="I614" s="11">
        <f>MOD(H614,2)*4+FLOOR(H614/2,1)*6</f>
        <v>22</v>
      </c>
      <c r="J614" s="12" t="str">
        <f>IF(J613&lt;I612,"有效","无效")</f>
        <v>有效</v>
      </c>
      <c r="K614" s="20"/>
      <c r="L614" s="6" t="str">
        <f>IF(R614&lt;=12,"有效","无效")</f>
        <v>有效</v>
      </c>
      <c r="M614" s="34" t="s">
        <v>1236</v>
      </c>
      <c r="N614" s="35"/>
      <c r="O614" s="35"/>
      <c r="P614" s="35"/>
      <c r="Q614" s="36"/>
      <c r="R614" s="10">
        <f>LEN(M614)</f>
        <v>8</v>
      </c>
      <c r="S614" s="10">
        <f>MOD(R614,2)*4+FLOOR(R614/2,1)*6</f>
        <v>24</v>
      </c>
      <c r="T614" s="12" t="str">
        <f>IF(T613&lt;I612,"有效","无效")</f>
        <v>有效</v>
      </c>
    </row>
    <row r="615" spans="1:20" ht="20" customHeight="1">
      <c r="A615" s="22"/>
      <c r="B615" s="6" t="str">
        <f>IF(H615&lt;=12,"有效","无效")</f>
        <v>有效</v>
      </c>
      <c r="C615" s="31" t="s">
        <v>1233</v>
      </c>
      <c r="D615" s="32"/>
      <c r="E615" s="32"/>
      <c r="F615" s="32"/>
      <c r="G615" s="33"/>
      <c r="H615" s="4">
        <f>LEN(C615)</f>
        <v>9</v>
      </c>
      <c r="I615" s="11">
        <f>MOD(H615,2)*4+FLOOR(H615/2,1)*6</f>
        <v>28</v>
      </c>
      <c r="J615" s="12">
        <f>I615+I616</f>
        <v>52</v>
      </c>
      <c r="K615" s="20"/>
      <c r="L615" s="6" t="str">
        <f>IF(R615&lt;=12,"有效","无效")</f>
        <v>有效</v>
      </c>
      <c r="M615" s="34" t="s">
        <v>1237</v>
      </c>
      <c r="N615" s="35"/>
      <c r="O615" s="35"/>
      <c r="P615" s="35"/>
      <c r="Q615" s="38"/>
      <c r="R615" s="10">
        <f>LEN(M615)</f>
        <v>9</v>
      </c>
      <c r="S615" s="10">
        <f>MOD(R615,2)*4+FLOOR(R615/2,1)*6</f>
        <v>28</v>
      </c>
      <c r="T615" s="12">
        <f>S615+S616</f>
        <v>64</v>
      </c>
    </row>
    <row r="616" spans="1:20" ht="20" customHeight="1">
      <c r="A616" s="22"/>
      <c r="B616" s="6" t="str">
        <f>IF(H616&lt;=12,"有效","无效")</f>
        <v>有效</v>
      </c>
      <c r="C616" s="31" t="s">
        <v>1234</v>
      </c>
      <c r="D616" s="32"/>
      <c r="E616" s="32"/>
      <c r="F616" s="32"/>
      <c r="G616" s="33"/>
      <c r="H616" s="4">
        <f>LEN(C616)</f>
        <v>8</v>
      </c>
      <c r="I616" s="11">
        <f>MOD(H616,2)*4+FLOOR(H616/2,1)*6</f>
        <v>24</v>
      </c>
      <c r="J616" s="12" t="str">
        <f>IF(J615&lt;I612,"有效","无效")</f>
        <v>有效</v>
      </c>
      <c r="K616" s="20"/>
      <c r="L616" s="6" t="str">
        <f>IF(R616&lt;=12,"有效","无效")</f>
        <v>有效</v>
      </c>
      <c r="M616" s="34" t="s">
        <v>1238</v>
      </c>
      <c r="N616" s="35"/>
      <c r="O616" s="35"/>
      <c r="P616" s="35"/>
      <c r="Q616" s="36"/>
      <c r="R616" s="10">
        <f>LEN(M616)</f>
        <v>12</v>
      </c>
      <c r="S616" s="10">
        <f>MOD(R616,2)*4+FLOOR(R616/2,1)*6</f>
        <v>36</v>
      </c>
      <c r="T616" s="12" t="str">
        <f>IF(T615&lt;I612,"有效","无效")</f>
        <v>有效</v>
      </c>
    </row>
    <row r="617" spans="1:20" ht="20" customHeight="1">
      <c r="A617" s="22">
        <v>124</v>
      </c>
      <c r="B617" s="23" t="s">
        <v>198</v>
      </c>
      <c r="C617" s="24" t="s">
        <v>199</v>
      </c>
      <c r="D617" s="14">
        <f>LEN($B617)</f>
        <v>3</v>
      </c>
      <c r="E617" s="14">
        <f>LEN(C617)+3</f>
        <v>5</v>
      </c>
      <c r="F617" s="14">
        <f>MOD(D617,2)*4+FLOOR(D617/2,1)*6</f>
        <v>10</v>
      </c>
      <c r="G617" s="14">
        <f>MOD(E617,2)*4+FLOOR(E617/2,1)*6</f>
        <v>16</v>
      </c>
      <c r="H617" s="14">
        <v>12</v>
      </c>
      <c r="I617" s="14">
        <f>108-H617-G617-F617</f>
        <v>70</v>
      </c>
    </row>
    <row r="618" spans="1:20" ht="20" customHeight="1">
      <c r="A618" s="22"/>
      <c r="B618" s="6" t="str">
        <f>IF(H618&lt;=12,"有效","无效")</f>
        <v>有效</v>
      </c>
      <c r="C618" s="34" t="s">
        <v>2154</v>
      </c>
      <c r="D618" s="35"/>
      <c r="E618" s="35"/>
      <c r="F618" s="35"/>
      <c r="G618" s="36"/>
      <c r="H618" s="4">
        <f>LEN(C618)</f>
        <v>4</v>
      </c>
      <c r="I618" s="11">
        <f>MOD(H618,2)*4+FLOOR(H618/2,1)*6</f>
        <v>12</v>
      </c>
      <c r="J618" s="12">
        <f>I618+I619</f>
        <v>30</v>
      </c>
      <c r="K618" s="20"/>
      <c r="L618" s="13" t="str">
        <f>IF(R618&lt;=12,"有效","无效")</f>
        <v>有效</v>
      </c>
      <c r="M618" s="35" t="s">
        <v>1240</v>
      </c>
      <c r="N618" s="35"/>
      <c r="O618" s="35"/>
      <c r="P618" s="35"/>
      <c r="Q618" s="36"/>
      <c r="R618" s="10">
        <f>LEN(M618)</f>
        <v>6</v>
      </c>
      <c r="S618" s="10">
        <f>MOD(R618,2)*4+FLOOR(R618/2,1)*6</f>
        <v>18</v>
      </c>
      <c r="T618" s="12">
        <f>S618+S619</f>
        <v>42</v>
      </c>
    </row>
    <row r="619" spans="1:20" ht="20" customHeight="1">
      <c r="A619" s="22"/>
      <c r="B619" s="6" t="str">
        <f>IF(H619&lt;=12,"有效","无效")</f>
        <v>有效</v>
      </c>
      <c r="C619" s="34" t="s">
        <v>2155</v>
      </c>
      <c r="D619" s="35"/>
      <c r="E619" s="35"/>
      <c r="F619" s="35"/>
      <c r="G619" s="36"/>
      <c r="H619" s="4">
        <f>LEN(C619)</f>
        <v>6</v>
      </c>
      <c r="I619" s="11">
        <f>MOD(H619,2)*4+FLOOR(H619/2,1)*6</f>
        <v>18</v>
      </c>
      <c r="J619" s="12" t="str">
        <f>IF(J618&lt;I617,"有效","无效")</f>
        <v>有效</v>
      </c>
      <c r="K619" s="20"/>
      <c r="L619" s="6" t="str">
        <f>IF(R619&lt;=12,"有效","无效")</f>
        <v>有效</v>
      </c>
      <c r="M619" s="34" t="s">
        <v>1241</v>
      </c>
      <c r="N619" s="35"/>
      <c r="O619" s="35"/>
      <c r="P619" s="35"/>
      <c r="Q619" s="36"/>
      <c r="R619" s="10">
        <f>LEN(M619)</f>
        <v>8</v>
      </c>
      <c r="S619" s="10">
        <f>MOD(R619,2)*4+FLOOR(R619/2,1)*6</f>
        <v>24</v>
      </c>
      <c r="T619" s="12" t="str">
        <f>IF(T618&lt;I617,"有效","无效")</f>
        <v>有效</v>
      </c>
    </row>
    <row r="620" spans="1:20" ht="20" customHeight="1">
      <c r="A620" s="22"/>
      <c r="B620" s="6" t="str">
        <f>IF(H620&lt;=12,"有效","无效")</f>
        <v>有效</v>
      </c>
      <c r="C620" s="34" t="s">
        <v>2153</v>
      </c>
      <c r="D620" s="35"/>
      <c r="E620" s="35"/>
      <c r="F620" s="35"/>
      <c r="G620" s="36"/>
      <c r="H620" s="4">
        <f>LEN(C620)</f>
        <v>12</v>
      </c>
      <c r="I620" s="11">
        <f>MOD(H620,2)*4+FLOOR(H620/2,1)*6</f>
        <v>36</v>
      </c>
      <c r="J620" s="12">
        <f>I620+I621</f>
        <v>54</v>
      </c>
      <c r="K620" s="20"/>
      <c r="L620" s="6" t="str">
        <f>IF(R620&lt;=12,"有效","无效")</f>
        <v>有效</v>
      </c>
      <c r="M620" s="34" t="s">
        <v>1242</v>
      </c>
      <c r="N620" s="35"/>
      <c r="O620" s="35"/>
      <c r="P620" s="35"/>
      <c r="Q620" s="36"/>
      <c r="R620" s="10">
        <f>LEN(M620)</f>
        <v>10</v>
      </c>
      <c r="S620" s="10">
        <f>MOD(R620,2)*4+FLOOR(R620/2,1)*6</f>
        <v>30</v>
      </c>
      <c r="T620" s="12">
        <f>S620+S621</f>
        <v>48</v>
      </c>
    </row>
    <row r="621" spans="1:20" ht="20" customHeight="1">
      <c r="A621" s="22"/>
      <c r="B621" s="6" t="str">
        <f>IF(H621&lt;=12,"有效","无效")</f>
        <v>有效</v>
      </c>
      <c r="C621" s="34" t="s">
        <v>1239</v>
      </c>
      <c r="D621" s="35"/>
      <c r="E621" s="35"/>
      <c r="F621" s="35"/>
      <c r="G621" s="36"/>
      <c r="H621" s="4">
        <f>LEN(C621)</f>
        <v>6</v>
      </c>
      <c r="I621" s="11">
        <f>MOD(H621,2)*4+FLOOR(H621/2,1)*6</f>
        <v>18</v>
      </c>
      <c r="J621" s="12" t="str">
        <f>IF(J620&lt;I617,"有效","无效")</f>
        <v>有效</v>
      </c>
      <c r="K621" s="20"/>
      <c r="L621" s="6" t="str">
        <f>IF(R621&lt;=12,"有效","无效")</f>
        <v>有效</v>
      </c>
      <c r="M621" s="34" t="s">
        <v>1243</v>
      </c>
      <c r="N621" s="35"/>
      <c r="O621" s="35"/>
      <c r="P621" s="35"/>
      <c r="Q621" s="36"/>
      <c r="R621" s="10">
        <f>LEN(M621)</f>
        <v>6</v>
      </c>
      <c r="S621" s="10">
        <f>MOD(R621,2)*4+FLOOR(R621/2,1)*6</f>
        <v>18</v>
      </c>
      <c r="T621" s="12" t="str">
        <f>IF(T620&lt;I617,"有效","无效")</f>
        <v>有效</v>
      </c>
    </row>
    <row r="622" spans="1:20" ht="20" customHeight="1">
      <c r="A622" s="22">
        <v>125</v>
      </c>
      <c r="B622" s="23" t="s">
        <v>200</v>
      </c>
      <c r="C622" s="24" t="s">
        <v>201</v>
      </c>
      <c r="D622" s="14">
        <f>LEN($B622)</f>
        <v>3</v>
      </c>
      <c r="E622" s="14">
        <f>LEN(C622)+3</f>
        <v>5</v>
      </c>
      <c r="F622" s="14">
        <f>MOD(D622,2)*4+FLOOR(D622/2,1)*6</f>
        <v>10</v>
      </c>
      <c r="G622" s="14">
        <f>MOD(E622,2)*4+FLOOR(E622/2,1)*6</f>
        <v>16</v>
      </c>
      <c r="H622" s="14">
        <v>12</v>
      </c>
      <c r="I622" s="14">
        <f>108-H622-G622-F622</f>
        <v>70</v>
      </c>
    </row>
    <row r="623" spans="1:20" ht="20" customHeight="1">
      <c r="A623" s="22"/>
      <c r="B623" s="6" t="str">
        <f>IF(H623&lt;=12,"有效","无效")</f>
        <v>有效</v>
      </c>
      <c r="C623" s="31" t="s">
        <v>1244</v>
      </c>
      <c r="D623" s="32"/>
      <c r="E623" s="32"/>
      <c r="F623" s="32"/>
      <c r="G623" s="33"/>
      <c r="H623" s="4">
        <f>LEN(C623)</f>
        <v>10</v>
      </c>
      <c r="I623" s="11">
        <f>MOD(H623,2)*4+FLOOR(H623/2,1)*6</f>
        <v>30</v>
      </c>
      <c r="J623" s="12">
        <f>I623+I624</f>
        <v>52</v>
      </c>
      <c r="K623" s="20"/>
      <c r="L623" s="13" t="str">
        <f>IF(R623&lt;=12,"有效","无效")</f>
        <v>有效</v>
      </c>
      <c r="M623" s="32" t="s">
        <v>1248</v>
      </c>
      <c r="N623" s="32"/>
      <c r="O623" s="32"/>
      <c r="P623" s="32"/>
      <c r="Q623" s="33"/>
      <c r="R623" s="10">
        <f>LEN(M623)</f>
        <v>4</v>
      </c>
      <c r="S623" s="10">
        <f>MOD(R623,2)*4+FLOOR(R623/2,1)*6</f>
        <v>12</v>
      </c>
      <c r="T623" s="12">
        <f>S623+S624</f>
        <v>24</v>
      </c>
    </row>
    <row r="624" spans="1:20" ht="20" customHeight="1">
      <c r="A624" s="22"/>
      <c r="B624" s="6" t="str">
        <f>IF(H624&lt;=12,"有效","无效")</f>
        <v>有效</v>
      </c>
      <c r="C624" s="31" t="s">
        <v>1245</v>
      </c>
      <c r="D624" s="32"/>
      <c r="E624" s="32"/>
      <c r="F624" s="32"/>
      <c r="G624" s="33"/>
      <c r="H624" s="4">
        <f>LEN(C624)</f>
        <v>7</v>
      </c>
      <c r="I624" s="11">
        <f>MOD(H624,2)*4+FLOOR(H624/2,1)*6</f>
        <v>22</v>
      </c>
      <c r="J624" s="12" t="str">
        <f>IF(J623&lt;I622,"有效","无效")</f>
        <v>有效</v>
      </c>
      <c r="K624" s="20"/>
      <c r="L624" s="6" t="str">
        <f>IF(R624&lt;=12,"有效","无效")</f>
        <v>有效</v>
      </c>
      <c r="M624" s="31" t="s">
        <v>1249</v>
      </c>
      <c r="N624" s="32"/>
      <c r="O624" s="32"/>
      <c r="P624" s="32"/>
      <c r="Q624" s="33"/>
      <c r="R624" s="10">
        <f>LEN(M624)</f>
        <v>4</v>
      </c>
      <c r="S624" s="10">
        <f>MOD(R624,2)*4+FLOOR(R624/2,1)*6</f>
        <v>12</v>
      </c>
      <c r="T624" s="12" t="str">
        <f>IF(T623&lt;I622,"有效","无效")</f>
        <v>有效</v>
      </c>
    </row>
    <row r="625" spans="1:20" ht="20" customHeight="1">
      <c r="A625" s="22"/>
      <c r="B625" s="6" t="str">
        <f>IF(H625&lt;=12,"有效","无效")</f>
        <v>有效</v>
      </c>
      <c r="C625" s="31" t="s">
        <v>1246</v>
      </c>
      <c r="D625" s="32"/>
      <c r="E625" s="32"/>
      <c r="F625" s="32"/>
      <c r="G625" s="33"/>
      <c r="H625" s="4">
        <f>LEN(C625)</f>
        <v>6</v>
      </c>
      <c r="I625" s="11">
        <f>MOD(H625,2)*4+FLOOR(H625/2,1)*6</f>
        <v>18</v>
      </c>
      <c r="J625" s="12">
        <f>I625+I626</f>
        <v>36</v>
      </c>
      <c r="K625" s="20"/>
      <c r="L625" s="6" t="str">
        <f>IF(R625&lt;=12,"有效","无效")</f>
        <v>有效</v>
      </c>
      <c r="M625" s="31" t="s">
        <v>1250</v>
      </c>
      <c r="N625" s="32"/>
      <c r="O625" s="32"/>
      <c r="P625" s="32"/>
      <c r="Q625" s="33"/>
      <c r="R625" s="10">
        <f>LEN(M625)</f>
        <v>8</v>
      </c>
      <c r="S625" s="10">
        <f>MOD(R625,2)*4+FLOOR(R625/2,1)*6</f>
        <v>24</v>
      </c>
      <c r="T625" s="12">
        <f>S625+S626</f>
        <v>48</v>
      </c>
    </row>
    <row r="626" spans="1:20" ht="20" customHeight="1">
      <c r="A626" s="22"/>
      <c r="B626" s="6" t="str">
        <f>IF(H626&lt;=12,"有效","无效")</f>
        <v>有效</v>
      </c>
      <c r="C626" s="31" t="s">
        <v>1247</v>
      </c>
      <c r="D626" s="32"/>
      <c r="E626" s="32"/>
      <c r="F626" s="32"/>
      <c r="G626" s="33"/>
      <c r="H626" s="4">
        <f>LEN(C626)</f>
        <v>6</v>
      </c>
      <c r="I626" s="11">
        <f>MOD(H626,2)*4+FLOOR(H626/2,1)*6</f>
        <v>18</v>
      </c>
      <c r="J626" s="12" t="str">
        <f>IF(J625&lt;I622,"有效","无效")</f>
        <v>有效</v>
      </c>
      <c r="K626" s="20"/>
      <c r="L626" s="6" t="str">
        <f>IF(R626&lt;=12,"有效","无效")</f>
        <v>有效</v>
      </c>
      <c r="M626" s="31" t="s">
        <v>1251</v>
      </c>
      <c r="N626" s="32"/>
      <c r="O626" s="32"/>
      <c r="P626" s="32"/>
      <c r="Q626" s="33"/>
      <c r="R626" s="10">
        <f>LEN(M626)</f>
        <v>8</v>
      </c>
      <c r="S626" s="10">
        <f>MOD(R626,2)*4+FLOOR(R626/2,1)*6</f>
        <v>24</v>
      </c>
      <c r="T626" s="12" t="str">
        <f>IF(T625&lt;I622,"有效","无效")</f>
        <v>有效</v>
      </c>
    </row>
    <row r="627" spans="1:20" ht="20" customHeight="1">
      <c r="A627" s="22">
        <v>126</v>
      </c>
      <c r="B627" s="23" t="s">
        <v>202</v>
      </c>
      <c r="C627" s="24" t="s">
        <v>203</v>
      </c>
      <c r="D627" s="14">
        <f>LEN($B627)</f>
        <v>4</v>
      </c>
      <c r="E627" s="14">
        <f>LEN(C627)+3</f>
        <v>5</v>
      </c>
      <c r="F627" s="14">
        <f>MOD(D627,2)*4+FLOOR(D627/2,1)*6</f>
        <v>12</v>
      </c>
      <c r="G627" s="14">
        <f>MOD(E627,2)*4+FLOOR(E627/2,1)*6</f>
        <v>16</v>
      </c>
      <c r="H627" s="14">
        <v>12</v>
      </c>
      <c r="I627" s="14">
        <f>108-H627-G627-F627</f>
        <v>68</v>
      </c>
    </row>
    <row r="628" spans="1:20" ht="20" customHeight="1">
      <c r="A628" s="22"/>
      <c r="B628" s="6" t="str">
        <f>IF(H628&lt;=12,"有效","无效")</f>
        <v>有效</v>
      </c>
      <c r="C628" s="34" t="s">
        <v>1252</v>
      </c>
      <c r="D628" s="35"/>
      <c r="E628" s="35"/>
      <c r="F628" s="35"/>
      <c r="G628" s="36"/>
      <c r="H628" s="4">
        <f>LEN(C628)</f>
        <v>9</v>
      </c>
      <c r="I628" s="11">
        <f>MOD(H628,2)*4+FLOOR(H628/2,1)*6</f>
        <v>28</v>
      </c>
      <c r="J628" s="12">
        <f>I628+I629</f>
        <v>56</v>
      </c>
      <c r="K628" s="20"/>
      <c r="L628" s="13" t="str">
        <f>IF(R628&lt;=12,"有效","无效")</f>
        <v>有效</v>
      </c>
      <c r="M628" s="32" t="s">
        <v>1256</v>
      </c>
      <c r="N628" s="32"/>
      <c r="O628" s="32"/>
      <c r="P628" s="32"/>
      <c r="Q628" s="33"/>
      <c r="R628" s="10">
        <f>LEN(M628)</f>
        <v>5</v>
      </c>
      <c r="S628" s="10">
        <f>MOD(R628,2)*4+FLOOR(R628/2,1)*6</f>
        <v>16</v>
      </c>
      <c r="T628" s="12">
        <f>S628+S629</f>
        <v>26</v>
      </c>
    </row>
    <row r="629" spans="1:20" ht="20" customHeight="1">
      <c r="A629" s="22"/>
      <c r="B629" s="6" t="str">
        <f>IF(H629&lt;=12,"有效","无效")</f>
        <v>有效</v>
      </c>
      <c r="C629" s="34" t="s">
        <v>1253</v>
      </c>
      <c r="D629" s="35"/>
      <c r="E629" s="35"/>
      <c r="F629" s="35"/>
      <c r="G629" s="36"/>
      <c r="H629" s="4">
        <f>LEN(C629)</f>
        <v>9</v>
      </c>
      <c r="I629" s="11">
        <f>MOD(H629,2)*4+FLOOR(H629/2,1)*6</f>
        <v>28</v>
      </c>
      <c r="J629" s="12" t="str">
        <f>IF(J628&lt;I627,"有效","无效")</f>
        <v>有效</v>
      </c>
      <c r="K629" s="20"/>
      <c r="L629" s="6" t="str">
        <f>IF(R629&lt;=12,"有效","无效")</f>
        <v>有效</v>
      </c>
      <c r="M629" s="31" t="s">
        <v>1257</v>
      </c>
      <c r="N629" s="32"/>
      <c r="O629" s="32"/>
      <c r="P629" s="32"/>
      <c r="Q629" s="33"/>
      <c r="R629" s="10">
        <f>LEN(M629)</f>
        <v>3</v>
      </c>
      <c r="S629" s="10">
        <f>MOD(R629,2)*4+FLOOR(R629/2,1)*6</f>
        <v>10</v>
      </c>
      <c r="T629" s="12" t="str">
        <f>IF(T628&lt;I627,"有效","无效")</f>
        <v>有效</v>
      </c>
    </row>
    <row r="630" spans="1:20" ht="20" customHeight="1">
      <c r="A630" s="22"/>
      <c r="B630" s="6" t="str">
        <f>IF(H630&lt;=12,"有效","无效")</f>
        <v>有效</v>
      </c>
      <c r="C630" s="34" t="s">
        <v>1254</v>
      </c>
      <c r="D630" s="35"/>
      <c r="E630" s="35"/>
      <c r="F630" s="35"/>
      <c r="G630" s="36"/>
      <c r="H630" s="4">
        <f>LEN(C630)</f>
        <v>8</v>
      </c>
      <c r="I630" s="11">
        <f>MOD(H630,2)*4+FLOOR(H630/2,1)*6</f>
        <v>24</v>
      </c>
      <c r="J630" s="12">
        <f>I630+I631</f>
        <v>46</v>
      </c>
      <c r="K630" s="20"/>
      <c r="L630" s="6" t="str">
        <f>IF(R630&lt;=12,"有效","无效")</f>
        <v>有效</v>
      </c>
      <c r="M630" s="31" t="s">
        <v>1258</v>
      </c>
      <c r="N630" s="32"/>
      <c r="O630" s="32"/>
      <c r="P630" s="32"/>
      <c r="Q630" s="33"/>
      <c r="R630" s="10">
        <f>LEN(M630)</f>
        <v>6</v>
      </c>
      <c r="S630" s="10">
        <f>MOD(R630,2)*4+FLOOR(R630/2,1)*6</f>
        <v>18</v>
      </c>
      <c r="T630" s="12">
        <f>S630+S631</f>
        <v>34</v>
      </c>
    </row>
    <row r="631" spans="1:20" ht="20" customHeight="1">
      <c r="A631" s="22"/>
      <c r="B631" s="6" t="str">
        <f>IF(H631&lt;=12,"有效","无效")</f>
        <v>有效</v>
      </c>
      <c r="C631" s="34" t="s">
        <v>1255</v>
      </c>
      <c r="D631" s="35"/>
      <c r="E631" s="35"/>
      <c r="F631" s="35"/>
      <c r="G631" s="36"/>
      <c r="H631" s="4">
        <f>LEN(C631)</f>
        <v>7</v>
      </c>
      <c r="I631" s="11">
        <f>MOD(H631,2)*4+FLOOR(H631/2,1)*6</f>
        <v>22</v>
      </c>
      <c r="J631" s="12" t="str">
        <f>IF(J630&lt;I627,"有效","无效")</f>
        <v>有效</v>
      </c>
      <c r="K631" s="20"/>
      <c r="L631" s="6" t="str">
        <f>IF(R631&lt;=12,"有效","无效")</f>
        <v>有效</v>
      </c>
      <c r="M631" s="31" t="s">
        <v>1259</v>
      </c>
      <c r="N631" s="32"/>
      <c r="O631" s="32"/>
      <c r="P631" s="32"/>
      <c r="Q631" s="33"/>
      <c r="R631" s="10">
        <f>LEN(M631)</f>
        <v>5</v>
      </c>
      <c r="S631" s="10">
        <f>MOD(R631,2)*4+FLOOR(R631/2,1)*6</f>
        <v>16</v>
      </c>
      <c r="T631" s="12" t="str">
        <f>IF(T630&lt;I627,"有效","无效")</f>
        <v>有效</v>
      </c>
    </row>
    <row r="632" spans="1:20" ht="20" customHeight="1">
      <c r="A632" s="22">
        <v>127</v>
      </c>
      <c r="B632" s="23" t="s">
        <v>204</v>
      </c>
      <c r="C632" s="24" t="s">
        <v>205</v>
      </c>
      <c r="D632" s="14">
        <f>LEN($B632)</f>
        <v>3</v>
      </c>
      <c r="E632" s="14">
        <f>LEN(C632)+3</f>
        <v>6</v>
      </c>
      <c r="F632" s="14">
        <f>MOD(D632,2)*4+FLOOR(D632/2,1)*6</f>
        <v>10</v>
      </c>
      <c r="G632" s="14">
        <f>MOD(E632,2)*4+FLOOR(E632/2,1)*6</f>
        <v>18</v>
      </c>
      <c r="H632" s="14">
        <v>12</v>
      </c>
      <c r="I632" s="14">
        <f>108-H632-G632-F632</f>
        <v>68</v>
      </c>
    </row>
    <row r="633" spans="1:20" ht="20" customHeight="1">
      <c r="A633" s="22"/>
      <c r="B633" s="6" t="str">
        <f>IF(H633&lt;=12,"有效","无效")</f>
        <v>有效</v>
      </c>
      <c r="C633" s="34" t="s">
        <v>1260</v>
      </c>
      <c r="D633" s="35"/>
      <c r="E633" s="35"/>
      <c r="F633" s="35"/>
      <c r="G633" s="36"/>
      <c r="H633" s="4">
        <f>LEN(C633)</f>
        <v>7</v>
      </c>
      <c r="I633" s="11">
        <f>MOD(H633,2)*4+FLOOR(H633/2,1)*6</f>
        <v>22</v>
      </c>
      <c r="J633" s="12">
        <f>I633+I634</f>
        <v>46</v>
      </c>
      <c r="K633" s="20"/>
      <c r="L633" s="13" t="str">
        <f>IF(R633&lt;=12,"有效","无效")</f>
        <v>有效</v>
      </c>
      <c r="M633" s="32" t="s">
        <v>1264</v>
      </c>
      <c r="N633" s="32"/>
      <c r="O633" s="32"/>
      <c r="P633" s="32"/>
      <c r="Q633" s="33"/>
      <c r="R633" s="10">
        <f>LEN(M633)</f>
        <v>7</v>
      </c>
      <c r="S633" s="10">
        <f>MOD(R633,2)*4+FLOOR(R633/2,1)*6</f>
        <v>22</v>
      </c>
      <c r="T633" s="12">
        <f>S633+S634</f>
        <v>38</v>
      </c>
    </row>
    <row r="634" spans="1:20" ht="20" customHeight="1">
      <c r="A634" s="22"/>
      <c r="B634" s="6" t="str">
        <f>IF(H634&lt;=12,"有效","无效")</f>
        <v>有效</v>
      </c>
      <c r="C634" s="34" t="s">
        <v>1261</v>
      </c>
      <c r="D634" s="35"/>
      <c r="E634" s="35"/>
      <c r="F634" s="35"/>
      <c r="G634" s="36"/>
      <c r="H634" s="4">
        <f>LEN(C634)</f>
        <v>8</v>
      </c>
      <c r="I634" s="11">
        <f>MOD(H634,2)*4+FLOOR(H634/2,1)*6</f>
        <v>24</v>
      </c>
      <c r="J634" s="12" t="str">
        <f>IF(J633&lt;I632,"有效","无效")</f>
        <v>有效</v>
      </c>
      <c r="K634" s="20"/>
      <c r="L634" s="6" t="str">
        <f>IF(R634&lt;=12,"有效","无效")</f>
        <v>有效</v>
      </c>
      <c r="M634" s="31" t="s">
        <v>1265</v>
      </c>
      <c r="N634" s="32"/>
      <c r="O634" s="32"/>
      <c r="P634" s="32"/>
      <c r="Q634" s="33"/>
      <c r="R634" s="10">
        <f>LEN(M634)</f>
        <v>5</v>
      </c>
      <c r="S634" s="10">
        <f>MOD(R634,2)*4+FLOOR(R634/2,1)*6</f>
        <v>16</v>
      </c>
      <c r="T634" s="12" t="str">
        <f>IF(T633&lt;I632,"有效","无效")</f>
        <v>有效</v>
      </c>
    </row>
    <row r="635" spans="1:20" ht="20" customHeight="1">
      <c r="A635" s="22"/>
      <c r="B635" s="6" t="str">
        <f>IF(H635&lt;=12,"有效","无效")</f>
        <v>有效</v>
      </c>
      <c r="C635" s="34" t="s">
        <v>1262</v>
      </c>
      <c r="D635" s="35"/>
      <c r="E635" s="35"/>
      <c r="F635" s="35"/>
      <c r="G635" s="36"/>
      <c r="H635" s="4">
        <f>LEN(C635)</f>
        <v>9</v>
      </c>
      <c r="I635" s="11">
        <f>MOD(H635,2)*4+FLOOR(H635/2,1)*6</f>
        <v>28</v>
      </c>
      <c r="J635" s="12">
        <f>I635+I636</f>
        <v>62</v>
      </c>
      <c r="K635" s="20"/>
      <c r="L635" s="6" t="str">
        <f>IF(R635&lt;=12,"有效","无效")</f>
        <v>有效</v>
      </c>
      <c r="M635" s="31" t="s">
        <v>1266</v>
      </c>
      <c r="N635" s="32"/>
      <c r="O635" s="32"/>
      <c r="P635" s="32"/>
      <c r="Q635" s="33"/>
      <c r="R635" s="10">
        <f>LEN(M635)</f>
        <v>7</v>
      </c>
      <c r="S635" s="10">
        <f>MOD(R635,2)*4+FLOOR(R635/2,1)*6</f>
        <v>22</v>
      </c>
      <c r="T635" s="12">
        <f>S635+S636</f>
        <v>44</v>
      </c>
    </row>
    <row r="636" spans="1:20" ht="20" customHeight="1">
      <c r="A636" s="22"/>
      <c r="B636" s="6" t="str">
        <f>IF(H636&lt;=12,"有效","无效")</f>
        <v>有效</v>
      </c>
      <c r="C636" s="34" t="s">
        <v>1263</v>
      </c>
      <c r="D636" s="35"/>
      <c r="E636" s="35"/>
      <c r="F636" s="35"/>
      <c r="G636" s="36"/>
      <c r="H636" s="4">
        <f>LEN(C636)</f>
        <v>11</v>
      </c>
      <c r="I636" s="11">
        <f>MOD(H636,2)*4+FLOOR(H636/2,1)*6</f>
        <v>34</v>
      </c>
      <c r="J636" s="12" t="str">
        <f>IF(J635&lt;I632,"有效","无效")</f>
        <v>有效</v>
      </c>
      <c r="K636" s="20"/>
      <c r="L636" s="6" t="str">
        <f>IF(R636&lt;=12,"有效","无效")</f>
        <v>有效</v>
      </c>
      <c r="M636" s="31" t="s">
        <v>1267</v>
      </c>
      <c r="N636" s="32"/>
      <c r="O636" s="32"/>
      <c r="P636" s="32"/>
      <c r="Q636" s="33"/>
      <c r="R636" s="10">
        <f>LEN(M636)</f>
        <v>7</v>
      </c>
      <c r="S636" s="10">
        <f>MOD(R636,2)*4+FLOOR(R636/2,1)*6</f>
        <v>22</v>
      </c>
      <c r="T636" s="12" t="str">
        <f>IF(T635&lt;I632,"有效","无效")</f>
        <v>有效</v>
      </c>
    </row>
    <row r="637" spans="1:20" ht="20" customHeight="1">
      <c r="A637" s="22">
        <v>128</v>
      </c>
      <c r="B637" s="23" t="s">
        <v>206</v>
      </c>
      <c r="C637" s="24" t="s">
        <v>207</v>
      </c>
      <c r="D637" s="14">
        <f>LEN($B637)</f>
        <v>3</v>
      </c>
      <c r="E637" s="14">
        <f>LEN(C637)+3</f>
        <v>5</v>
      </c>
      <c r="F637" s="14">
        <f>MOD(D637,2)*4+FLOOR(D637/2,1)*6</f>
        <v>10</v>
      </c>
      <c r="G637" s="14">
        <f>MOD(E637,2)*4+FLOOR(E637/2,1)*6</f>
        <v>16</v>
      </c>
      <c r="H637" s="14">
        <v>12</v>
      </c>
      <c r="I637" s="14">
        <f>108-H637-G637-F637</f>
        <v>70</v>
      </c>
    </row>
    <row r="638" spans="1:20" ht="20" customHeight="1">
      <c r="A638" s="22"/>
      <c r="B638" s="6" t="str">
        <f>IF(H638&lt;=12,"有效","无效")</f>
        <v>有效</v>
      </c>
      <c r="C638" s="31" t="s">
        <v>1268</v>
      </c>
      <c r="D638" s="32"/>
      <c r="E638" s="32"/>
      <c r="F638" s="32"/>
      <c r="G638" s="33"/>
      <c r="H638" s="4">
        <f>LEN(C638)</f>
        <v>3</v>
      </c>
      <c r="I638" s="11">
        <f>MOD(H638,2)*4+FLOOR(H638/2,1)*6</f>
        <v>10</v>
      </c>
      <c r="J638" s="12">
        <f>I638+I639</f>
        <v>34</v>
      </c>
      <c r="K638" s="20"/>
      <c r="L638" s="13" t="str">
        <f>IF(R638&lt;=12,"有效","无效")</f>
        <v>有效</v>
      </c>
      <c r="M638" s="32" t="s">
        <v>1272</v>
      </c>
      <c r="N638" s="32"/>
      <c r="O638" s="32"/>
      <c r="P638" s="32"/>
      <c r="Q638" s="33"/>
      <c r="R638" s="10">
        <f>LEN(M638)</f>
        <v>6</v>
      </c>
      <c r="S638" s="10">
        <f>MOD(R638,2)*4+FLOOR(R638/2,1)*6</f>
        <v>18</v>
      </c>
      <c r="T638" s="12">
        <f>S638+S639</f>
        <v>34</v>
      </c>
    </row>
    <row r="639" spans="1:20" ht="20" customHeight="1">
      <c r="A639" s="22"/>
      <c r="B639" s="6" t="str">
        <f>IF(H639&lt;=12,"有效","无效")</f>
        <v>有效</v>
      </c>
      <c r="C639" s="31" t="s">
        <v>1269</v>
      </c>
      <c r="D639" s="32"/>
      <c r="E639" s="32"/>
      <c r="F639" s="32"/>
      <c r="G639" s="33"/>
      <c r="H639" s="4">
        <f>LEN(C639)</f>
        <v>8</v>
      </c>
      <c r="I639" s="11">
        <f>MOD(H639,2)*4+FLOOR(H639/2,1)*6</f>
        <v>24</v>
      </c>
      <c r="J639" s="12" t="str">
        <f>IF(J638&lt;I637,"有效","无效")</f>
        <v>有效</v>
      </c>
      <c r="K639" s="20"/>
      <c r="L639" s="6" t="str">
        <f>IF(R639&lt;=12,"有效","无效")</f>
        <v>有效</v>
      </c>
      <c r="M639" s="31" t="s">
        <v>1273</v>
      </c>
      <c r="N639" s="32"/>
      <c r="O639" s="32"/>
      <c r="P639" s="32"/>
      <c r="Q639" s="33"/>
      <c r="R639" s="10">
        <f>LEN(M639)</f>
        <v>5</v>
      </c>
      <c r="S639" s="10">
        <f>MOD(R639,2)*4+FLOOR(R639/2,1)*6</f>
        <v>16</v>
      </c>
      <c r="T639" s="12" t="str">
        <f>IF(T638&lt;I637,"有效","无效")</f>
        <v>有效</v>
      </c>
    </row>
    <row r="640" spans="1:20" ht="20" customHeight="1">
      <c r="A640" s="22"/>
      <c r="B640" s="6" t="str">
        <f>IF(H640&lt;=12,"有效","无效")</f>
        <v>有效</v>
      </c>
      <c r="C640" s="31" t="s">
        <v>1270</v>
      </c>
      <c r="D640" s="32"/>
      <c r="E640" s="32"/>
      <c r="F640" s="32"/>
      <c r="G640" s="33"/>
      <c r="H640" s="4">
        <f>LEN(C640)</f>
        <v>10</v>
      </c>
      <c r="I640" s="11">
        <f>MOD(H640,2)*4+FLOOR(H640/2,1)*6</f>
        <v>30</v>
      </c>
      <c r="J640" s="12">
        <f>I640+I641</f>
        <v>64</v>
      </c>
      <c r="K640" s="20"/>
      <c r="L640" s="6" t="str">
        <f>IF(R640&lt;=12,"有效","无效")</f>
        <v>有效</v>
      </c>
      <c r="M640" s="31" t="s">
        <v>1274</v>
      </c>
      <c r="N640" s="32"/>
      <c r="O640" s="32"/>
      <c r="P640" s="32"/>
      <c r="Q640" s="33"/>
      <c r="R640" s="10">
        <f>LEN(M640)</f>
        <v>9</v>
      </c>
      <c r="S640" s="10">
        <f>MOD(R640,2)*4+FLOOR(R640/2,1)*6</f>
        <v>28</v>
      </c>
      <c r="T640" s="12">
        <f>S640+S641</f>
        <v>56</v>
      </c>
    </row>
    <row r="641" spans="1:20" ht="20" customHeight="1">
      <c r="A641" s="22"/>
      <c r="B641" s="6" t="str">
        <f>IF(H641&lt;=12,"有效","无效")</f>
        <v>有效</v>
      </c>
      <c r="C641" s="31" t="s">
        <v>1271</v>
      </c>
      <c r="D641" s="32"/>
      <c r="E641" s="32"/>
      <c r="F641" s="32"/>
      <c r="G641" s="33"/>
      <c r="H641" s="4">
        <f>LEN(C641)</f>
        <v>11</v>
      </c>
      <c r="I641" s="11">
        <f>MOD(H641,2)*4+FLOOR(H641/2,1)*6</f>
        <v>34</v>
      </c>
      <c r="J641" s="12" t="str">
        <f>IF(J640&lt;I637,"有效","无效")</f>
        <v>有效</v>
      </c>
      <c r="K641" s="20"/>
      <c r="L641" s="6" t="str">
        <f>IF(R641&lt;=12,"有效","无效")</f>
        <v>有效</v>
      </c>
      <c r="M641" s="31" t="s">
        <v>1275</v>
      </c>
      <c r="N641" s="32"/>
      <c r="O641" s="32"/>
      <c r="P641" s="32"/>
      <c r="Q641" s="33"/>
      <c r="R641" s="10">
        <f>LEN(M641)</f>
        <v>9</v>
      </c>
      <c r="S641" s="10">
        <f>MOD(R641,2)*4+FLOOR(R641/2,1)*6</f>
        <v>28</v>
      </c>
      <c r="T641" s="12" t="str">
        <f>IF(T640&lt;I637,"有效","无效")</f>
        <v>有效</v>
      </c>
    </row>
    <row r="642" spans="1:20" ht="20" customHeight="1">
      <c r="A642" s="22">
        <v>129</v>
      </c>
      <c r="B642" s="23" t="s">
        <v>208</v>
      </c>
      <c r="C642" s="24" t="s">
        <v>209</v>
      </c>
      <c r="D642" s="14">
        <f>LEN($B642)</f>
        <v>3</v>
      </c>
      <c r="E642" s="14">
        <f>LEN(C642)+3</f>
        <v>4</v>
      </c>
      <c r="F642" s="14">
        <f>MOD(D642,2)*4+FLOOR(D642/2,1)*6</f>
        <v>10</v>
      </c>
      <c r="G642" s="14">
        <f>MOD(E642,2)*4+FLOOR(E642/2,1)*6</f>
        <v>12</v>
      </c>
      <c r="H642" s="14">
        <v>12</v>
      </c>
      <c r="I642" s="14">
        <f>108-H642-G642-F642</f>
        <v>74</v>
      </c>
    </row>
    <row r="643" spans="1:20" ht="20" customHeight="1">
      <c r="A643" s="22"/>
      <c r="B643" s="6" t="str">
        <f>IF(H643&lt;=12,"有效","无效")</f>
        <v>有效</v>
      </c>
      <c r="C643" s="31" t="s">
        <v>1276</v>
      </c>
      <c r="D643" s="32"/>
      <c r="E643" s="32"/>
      <c r="F643" s="32"/>
      <c r="G643" s="33"/>
      <c r="H643" s="4">
        <f>LEN(C643)</f>
        <v>4</v>
      </c>
      <c r="I643" s="11">
        <f>MOD(H643,2)*4+FLOOR(H643/2,1)*6</f>
        <v>12</v>
      </c>
      <c r="J643" s="12">
        <f>I643+I644</f>
        <v>30</v>
      </c>
      <c r="K643" s="20"/>
      <c r="L643" s="13" t="str">
        <f>IF(R643&lt;=12,"有效","无效")</f>
        <v>有效</v>
      </c>
      <c r="M643" s="35" t="s">
        <v>1280</v>
      </c>
      <c r="N643" s="35"/>
      <c r="O643" s="35"/>
      <c r="P643" s="35"/>
      <c r="Q643" s="36"/>
      <c r="R643" s="10">
        <f>LEN(M643)</f>
        <v>7</v>
      </c>
      <c r="S643" s="10">
        <f>MOD(R643,2)*4+FLOOR(R643/2,1)*6</f>
        <v>22</v>
      </c>
      <c r="T643" s="12">
        <f>S643+S644</f>
        <v>44</v>
      </c>
    </row>
    <row r="644" spans="1:20" ht="20" customHeight="1">
      <c r="A644" s="22"/>
      <c r="B644" s="6" t="str">
        <f>IF(H644&lt;=12,"有效","无效")</f>
        <v>有效</v>
      </c>
      <c r="C644" s="31" t="s">
        <v>1277</v>
      </c>
      <c r="D644" s="32"/>
      <c r="E644" s="32"/>
      <c r="F644" s="32"/>
      <c r="G644" s="33"/>
      <c r="H644" s="4">
        <f>LEN(C644)</f>
        <v>6</v>
      </c>
      <c r="I644" s="11">
        <f>MOD(H644,2)*4+FLOOR(H644/2,1)*6</f>
        <v>18</v>
      </c>
      <c r="J644" s="12" t="str">
        <f>IF(J643&lt;I642,"有效","无效")</f>
        <v>有效</v>
      </c>
      <c r="K644" s="20"/>
      <c r="L644" s="6" t="str">
        <f>IF(R644&lt;=12,"有效","无效")</f>
        <v>有效</v>
      </c>
      <c r="M644" s="34" t="s">
        <v>1281</v>
      </c>
      <c r="N644" s="35"/>
      <c r="O644" s="35"/>
      <c r="P644" s="35"/>
      <c r="Q644" s="36"/>
      <c r="R644" s="10">
        <f>LEN(M644)</f>
        <v>7</v>
      </c>
      <c r="S644" s="10">
        <f>MOD(R644,2)*4+FLOOR(R644/2,1)*6</f>
        <v>22</v>
      </c>
      <c r="T644" s="12" t="str">
        <f>IF(T643&lt;I642,"有效","无效")</f>
        <v>有效</v>
      </c>
    </row>
    <row r="645" spans="1:20" ht="20" customHeight="1">
      <c r="A645" s="22"/>
      <c r="B645" s="6" t="str">
        <f>IF(H645&lt;=12,"有效","无效")</f>
        <v>有效</v>
      </c>
      <c r="C645" s="31" t="s">
        <v>1278</v>
      </c>
      <c r="D645" s="32"/>
      <c r="E645" s="32"/>
      <c r="F645" s="32"/>
      <c r="G645" s="33"/>
      <c r="H645" s="4">
        <f>LEN(C645)</f>
        <v>10</v>
      </c>
      <c r="I645" s="11">
        <f>MOD(H645,2)*4+FLOOR(H645/2,1)*6</f>
        <v>30</v>
      </c>
      <c r="J645" s="12">
        <f>I645+I646</f>
        <v>60</v>
      </c>
      <c r="K645" s="20"/>
      <c r="L645" s="6" t="str">
        <f>IF(R645&lt;=12,"有效","无效")</f>
        <v>有效</v>
      </c>
      <c r="M645" s="34" t="s">
        <v>1282</v>
      </c>
      <c r="N645" s="35"/>
      <c r="O645" s="35"/>
      <c r="P645" s="35"/>
      <c r="Q645" s="36"/>
      <c r="R645" s="10">
        <f>LEN(M645)</f>
        <v>11</v>
      </c>
      <c r="S645" s="10">
        <f>MOD(R645,2)*4+FLOOR(R645/2,1)*6</f>
        <v>34</v>
      </c>
      <c r="T645" s="12">
        <f>S645+S646</f>
        <v>64</v>
      </c>
    </row>
    <row r="646" spans="1:20" ht="20" customHeight="1">
      <c r="A646" s="22"/>
      <c r="B646" s="6" t="str">
        <f>IF(H646&lt;=12,"有效","无效")</f>
        <v>有效</v>
      </c>
      <c r="C646" s="31" t="s">
        <v>1279</v>
      </c>
      <c r="D646" s="32"/>
      <c r="E646" s="32"/>
      <c r="F646" s="32"/>
      <c r="G646" s="33"/>
      <c r="H646" s="4">
        <f>LEN(C646)</f>
        <v>10</v>
      </c>
      <c r="I646" s="11">
        <f>MOD(H646,2)*4+FLOOR(H646/2,1)*6</f>
        <v>30</v>
      </c>
      <c r="J646" s="12" t="str">
        <f>IF(J645&lt;I642,"有效","无效")</f>
        <v>有效</v>
      </c>
      <c r="K646" s="20"/>
      <c r="L646" s="6" t="str">
        <f>IF(R646&lt;=12,"有效","无效")</f>
        <v>有效</v>
      </c>
      <c r="M646" s="34" t="s">
        <v>1283</v>
      </c>
      <c r="N646" s="35"/>
      <c r="O646" s="35"/>
      <c r="P646" s="35"/>
      <c r="Q646" s="36"/>
      <c r="R646" s="10">
        <f>LEN(M646)</f>
        <v>10</v>
      </c>
      <c r="S646" s="10">
        <f>MOD(R646,2)*4+FLOOR(R646/2,1)*6</f>
        <v>30</v>
      </c>
      <c r="T646" s="12" t="str">
        <f>IF(T645&lt;I642,"有效","无效")</f>
        <v>有效</v>
      </c>
    </row>
    <row r="647" spans="1:20" ht="20" customHeight="1">
      <c r="A647" s="22">
        <v>130</v>
      </c>
      <c r="B647" s="23" t="s">
        <v>210</v>
      </c>
      <c r="C647" s="24" t="s">
        <v>211</v>
      </c>
      <c r="D647" s="14">
        <f>LEN($B647)</f>
        <v>3</v>
      </c>
      <c r="E647" s="14">
        <f>LEN(C647)+3</f>
        <v>5</v>
      </c>
      <c r="F647" s="14">
        <f>MOD(D647,2)*4+FLOOR(D647/2,1)*6</f>
        <v>10</v>
      </c>
      <c r="G647" s="14">
        <f>MOD(E647,2)*4+FLOOR(E647/2,1)*6</f>
        <v>16</v>
      </c>
      <c r="H647" s="14">
        <v>12</v>
      </c>
      <c r="I647" s="14">
        <f>108-H647-G647-F647</f>
        <v>70</v>
      </c>
    </row>
    <row r="648" spans="1:20" ht="20" customHeight="1">
      <c r="A648" s="22"/>
      <c r="B648" s="6" t="str">
        <f>IF(H648&lt;=12,"有效","无效")</f>
        <v>有效</v>
      </c>
      <c r="C648" s="34" t="s">
        <v>1285</v>
      </c>
      <c r="D648" s="35"/>
      <c r="E648" s="35"/>
      <c r="F648" s="35"/>
      <c r="G648" s="36"/>
      <c r="H648" s="4">
        <f>LEN(C648)</f>
        <v>4</v>
      </c>
      <c r="I648" s="11">
        <f>MOD(H648,2)*4+FLOOR(H648/2,1)*6</f>
        <v>12</v>
      </c>
      <c r="J648" s="12">
        <f>I648+I649</f>
        <v>42</v>
      </c>
      <c r="K648" s="20"/>
      <c r="L648" s="13" t="str">
        <f>IF(R648&lt;=12,"有效","无效")</f>
        <v>有效</v>
      </c>
      <c r="M648" s="32" t="s">
        <v>2304</v>
      </c>
      <c r="N648" s="32"/>
      <c r="O648" s="32"/>
      <c r="P648" s="32"/>
      <c r="Q648" s="33"/>
      <c r="R648" s="10">
        <f>LEN(M648)</f>
        <v>2</v>
      </c>
      <c r="S648" s="10">
        <f>MOD(R648,2)*4+FLOOR(R648/2,1)*6</f>
        <v>6</v>
      </c>
      <c r="T648" s="12">
        <f>S648+S649</f>
        <v>36</v>
      </c>
    </row>
    <row r="649" spans="1:20" ht="20" customHeight="1">
      <c r="A649" s="22"/>
      <c r="B649" s="6" t="str">
        <f>IF(H649&lt;=12,"有效","无效")</f>
        <v>有效</v>
      </c>
      <c r="C649" s="34" t="s">
        <v>1286</v>
      </c>
      <c r="D649" s="35"/>
      <c r="E649" s="35"/>
      <c r="F649" s="35"/>
      <c r="G649" s="36"/>
      <c r="H649" s="4">
        <f>LEN(C649)</f>
        <v>10</v>
      </c>
      <c r="I649" s="11">
        <f>MOD(H649,2)*4+FLOOR(H649/2,1)*6</f>
        <v>30</v>
      </c>
      <c r="J649" s="12" t="str">
        <f>IF(J648&lt;I647,"有效","无效")</f>
        <v>有效</v>
      </c>
      <c r="K649" s="20"/>
      <c r="L649" s="6" t="str">
        <f>IF(R649&lt;=12,"有效","无效")</f>
        <v>有效</v>
      </c>
      <c r="M649" s="31" t="s">
        <v>2395</v>
      </c>
      <c r="N649" s="32"/>
      <c r="O649" s="32"/>
      <c r="P649" s="32"/>
      <c r="Q649" s="33"/>
      <c r="R649" s="10">
        <f>LEN(M649)</f>
        <v>10</v>
      </c>
      <c r="S649" s="10">
        <f>MOD(R649,2)*4+FLOOR(R649/2,1)*6</f>
        <v>30</v>
      </c>
      <c r="T649" s="12" t="str">
        <f>IF(T648&lt;I647,"有效","无效")</f>
        <v>有效</v>
      </c>
    </row>
    <row r="650" spans="1:20" ht="20" customHeight="1">
      <c r="A650" s="22"/>
      <c r="B650" s="6" t="str">
        <f>IF(H650&lt;=12,"有效","无效")</f>
        <v>有效</v>
      </c>
      <c r="C650" s="34" t="s">
        <v>1287</v>
      </c>
      <c r="D650" s="35"/>
      <c r="E650" s="35"/>
      <c r="F650" s="35"/>
      <c r="G650" s="36"/>
      <c r="H650" s="4">
        <f>LEN(C650)</f>
        <v>8</v>
      </c>
      <c r="I650" s="11">
        <f>MOD(H650,2)*4+FLOOR(H650/2,1)*6</f>
        <v>24</v>
      </c>
      <c r="J650" s="12">
        <f>I650+I651</f>
        <v>58</v>
      </c>
      <c r="K650" s="20"/>
      <c r="L650" s="6" t="str">
        <f>IF(R650&lt;=12,"有效","无效")</f>
        <v>有效</v>
      </c>
      <c r="M650" s="31" t="s">
        <v>2394</v>
      </c>
      <c r="N650" s="32"/>
      <c r="O650" s="32"/>
      <c r="P650" s="32"/>
      <c r="Q650" s="33"/>
      <c r="R650" s="10">
        <f>LEN(M650)</f>
        <v>11</v>
      </c>
      <c r="S650" s="10">
        <f>MOD(R650,2)*4+FLOOR(R650/2,1)*6</f>
        <v>34</v>
      </c>
      <c r="T650" s="12">
        <f>S650+S651</f>
        <v>64</v>
      </c>
    </row>
    <row r="651" spans="1:20" ht="20" customHeight="1">
      <c r="A651" s="22"/>
      <c r="B651" s="6" t="str">
        <f>IF(H651&lt;=12,"有效","无效")</f>
        <v>有效</v>
      </c>
      <c r="C651" s="34" t="s">
        <v>1288</v>
      </c>
      <c r="D651" s="35"/>
      <c r="E651" s="35"/>
      <c r="F651" s="35"/>
      <c r="G651" s="36"/>
      <c r="H651" s="4">
        <f>LEN(C651)</f>
        <v>11</v>
      </c>
      <c r="I651" s="11">
        <f>MOD(H651,2)*4+FLOOR(H651/2,1)*6</f>
        <v>34</v>
      </c>
      <c r="J651" s="12" t="str">
        <f>IF(J650&lt;I647,"有效","无效")</f>
        <v>有效</v>
      </c>
      <c r="K651" s="20"/>
      <c r="L651" s="6" t="str">
        <f>IF(R651&lt;=12,"有效","无效")</f>
        <v>有效</v>
      </c>
      <c r="M651" s="31" t="s">
        <v>1284</v>
      </c>
      <c r="N651" s="32"/>
      <c r="O651" s="32"/>
      <c r="P651" s="32"/>
      <c r="Q651" s="33"/>
      <c r="R651" s="10">
        <f>LEN(M651)</f>
        <v>10</v>
      </c>
      <c r="S651" s="10">
        <f>MOD(R651,2)*4+FLOOR(R651/2,1)*6</f>
        <v>30</v>
      </c>
      <c r="T651" s="12" t="str">
        <f>IF(T650&lt;I647,"有效","无效")</f>
        <v>有效</v>
      </c>
    </row>
    <row r="652" spans="1:20" ht="20" customHeight="1">
      <c r="A652" s="22">
        <v>131</v>
      </c>
      <c r="B652" s="23" t="s">
        <v>212</v>
      </c>
      <c r="C652" s="24" t="s">
        <v>213</v>
      </c>
      <c r="D652" s="14">
        <f>LEN($B652)</f>
        <v>4</v>
      </c>
      <c r="E652" s="14">
        <f>LEN(C652)+3</f>
        <v>5</v>
      </c>
      <c r="F652" s="14">
        <f>MOD(D652,2)*4+FLOOR(D652/2,1)*6</f>
        <v>12</v>
      </c>
      <c r="G652" s="14">
        <f>MOD(E652,2)*4+FLOOR(E652/2,1)*6</f>
        <v>16</v>
      </c>
      <c r="H652" s="14">
        <v>12</v>
      </c>
      <c r="I652" s="14">
        <f>108-H652-G652-F652</f>
        <v>68</v>
      </c>
    </row>
    <row r="653" spans="1:20" ht="20" customHeight="1">
      <c r="A653" s="22"/>
      <c r="B653" s="6" t="str">
        <f>IF(H653&lt;=12,"有效","无效")</f>
        <v>有效</v>
      </c>
      <c r="C653" s="31" t="s">
        <v>1289</v>
      </c>
      <c r="D653" s="32"/>
      <c r="E653" s="32"/>
      <c r="F653" s="32"/>
      <c r="G653" s="33"/>
      <c r="H653" s="4">
        <f>LEN(C653)</f>
        <v>7</v>
      </c>
      <c r="I653" s="11">
        <f>MOD(H653,2)*4+FLOOR(H653/2,1)*6</f>
        <v>22</v>
      </c>
      <c r="J653" s="12">
        <f>I653+I654</f>
        <v>52</v>
      </c>
      <c r="K653" s="20"/>
      <c r="L653" s="13" t="str">
        <f>IF(R653&lt;=12,"有效","无效")</f>
        <v>有效</v>
      </c>
      <c r="M653" s="32" t="s">
        <v>1293</v>
      </c>
      <c r="N653" s="32"/>
      <c r="O653" s="32"/>
      <c r="P653" s="32"/>
      <c r="Q653" s="33"/>
      <c r="R653" s="10">
        <f>LEN(M653)</f>
        <v>10</v>
      </c>
      <c r="S653" s="10">
        <f>MOD(R653,2)*4+FLOOR(R653/2,1)*6</f>
        <v>30</v>
      </c>
      <c r="T653" s="12">
        <f>S653+S654</f>
        <v>58</v>
      </c>
    </row>
    <row r="654" spans="1:20" ht="20" customHeight="1">
      <c r="A654" s="22"/>
      <c r="B654" s="6" t="str">
        <f>IF(H654&lt;=12,"有效","无效")</f>
        <v>有效</v>
      </c>
      <c r="C654" s="31" t="s">
        <v>1290</v>
      </c>
      <c r="D654" s="32"/>
      <c r="E654" s="32"/>
      <c r="F654" s="32"/>
      <c r="G654" s="33"/>
      <c r="H654" s="4">
        <f>LEN(C654)</f>
        <v>10</v>
      </c>
      <c r="I654" s="11">
        <f>MOD(H654,2)*4+FLOOR(H654/2,1)*6</f>
        <v>30</v>
      </c>
      <c r="J654" s="12" t="str">
        <f>IF(J653&lt;I652,"有效","无效")</f>
        <v>有效</v>
      </c>
      <c r="K654" s="20"/>
      <c r="L654" s="6" t="str">
        <f>IF(R654&lt;=12,"有效","无效")</f>
        <v>有效</v>
      </c>
      <c r="M654" s="31" t="s">
        <v>1294</v>
      </c>
      <c r="N654" s="32"/>
      <c r="O654" s="32"/>
      <c r="P654" s="32"/>
      <c r="Q654" s="33"/>
      <c r="R654" s="10">
        <f>LEN(M654)</f>
        <v>9</v>
      </c>
      <c r="S654" s="10">
        <f>MOD(R654,2)*4+FLOOR(R654/2,1)*6</f>
        <v>28</v>
      </c>
      <c r="T654" s="12" t="str">
        <f>IF(T653&lt;I652,"有效","无效")</f>
        <v>有效</v>
      </c>
    </row>
    <row r="655" spans="1:20" ht="20" customHeight="1">
      <c r="A655" s="22"/>
      <c r="B655" s="6" t="str">
        <f>IF(H655&lt;=12,"有效","无效")</f>
        <v>有效</v>
      </c>
      <c r="C655" s="31" t="s">
        <v>1291</v>
      </c>
      <c r="D655" s="32"/>
      <c r="E655" s="32"/>
      <c r="F655" s="32"/>
      <c r="G655" s="33"/>
      <c r="H655" s="4">
        <f>LEN(C655)</f>
        <v>8</v>
      </c>
      <c r="I655" s="11">
        <f>MOD(H655,2)*4+FLOOR(H655/2,1)*6</f>
        <v>24</v>
      </c>
      <c r="J655" s="12">
        <f>I655+I656</f>
        <v>40</v>
      </c>
      <c r="K655" s="20"/>
      <c r="L655" s="6" t="str">
        <f>IF(R655&lt;=12,"有效","无效")</f>
        <v>有效</v>
      </c>
      <c r="M655" s="31" t="s">
        <v>1295</v>
      </c>
      <c r="N655" s="32"/>
      <c r="O655" s="32"/>
      <c r="P655" s="32"/>
      <c r="Q655" s="33"/>
      <c r="R655" s="10">
        <f>LEN(M655)</f>
        <v>12</v>
      </c>
      <c r="S655" s="10">
        <f>MOD(R655,2)*4+FLOOR(R655/2,1)*6</f>
        <v>36</v>
      </c>
      <c r="T655" s="12">
        <f>S655+S656</f>
        <v>64</v>
      </c>
    </row>
    <row r="656" spans="1:20" ht="20" customHeight="1">
      <c r="A656" s="22"/>
      <c r="B656" s="6" t="str">
        <f>IF(H656&lt;=12,"有效","无效")</f>
        <v>有效</v>
      </c>
      <c r="C656" s="31" t="s">
        <v>1292</v>
      </c>
      <c r="D656" s="32"/>
      <c r="E656" s="32"/>
      <c r="F656" s="32"/>
      <c r="G656" s="33"/>
      <c r="H656" s="4">
        <f>LEN(C656)</f>
        <v>5</v>
      </c>
      <c r="I656" s="11">
        <f>MOD(H656,2)*4+FLOOR(H656/2,1)*6</f>
        <v>16</v>
      </c>
      <c r="J656" s="12" t="str">
        <f>IF(J655&lt;I652,"有效","无效")</f>
        <v>有效</v>
      </c>
      <c r="K656" s="20"/>
      <c r="L656" s="6" t="str">
        <f>IF(R656&lt;=12,"有效","无效")</f>
        <v>有效</v>
      </c>
      <c r="M656" s="31" t="s">
        <v>1296</v>
      </c>
      <c r="N656" s="32"/>
      <c r="O656" s="32"/>
      <c r="P656" s="32"/>
      <c r="Q656" s="33"/>
      <c r="R656" s="10">
        <f>LEN(M656)</f>
        <v>9</v>
      </c>
      <c r="S656" s="10">
        <f>MOD(R656,2)*4+FLOOR(R656/2,1)*6</f>
        <v>28</v>
      </c>
      <c r="T656" s="12" t="str">
        <f>IF(T655&lt;I652,"有效","无效")</f>
        <v>有效</v>
      </c>
    </row>
    <row r="657" spans="1:20" ht="20" customHeight="1">
      <c r="A657" s="22">
        <v>132</v>
      </c>
      <c r="B657" s="23" t="s">
        <v>214</v>
      </c>
      <c r="C657" s="24" t="s">
        <v>215</v>
      </c>
      <c r="D657" s="14">
        <f>LEN($B657)</f>
        <v>3</v>
      </c>
      <c r="E657" s="14">
        <f>LEN(C657)+3</f>
        <v>5</v>
      </c>
      <c r="F657" s="14">
        <f>MOD(D657,2)*4+FLOOR(D657/2,1)*6</f>
        <v>10</v>
      </c>
      <c r="G657" s="14">
        <f>MOD(E657,2)*4+FLOOR(E657/2,1)*6</f>
        <v>16</v>
      </c>
      <c r="H657" s="14">
        <v>12</v>
      </c>
      <c r="I657" s="14">
        <f>108-H657-G657-F657</f>
        <v>70</v>
      </c>
      <c r="J657" s="30"/>
    </row>
    <row r="658" spans="1:20" ht="20" customHeight="1">
      <c r="A658" s="22"/>
      <c r="B658" s="6" t="str">
        <f>IF(H658&lt;=12,"有效","无效")</f>
        <v>有效</v>
      </c>
      <c r="C658" s="34" t="s">
        <v>2156</v>
      </c>
      <c r="D658" s="35"/>
      <c r="E658" s="35"/>
      <c r="F658" s="35"/>
      <c r="G658" s="36"/>
      <c r="H658" s="4">
        <f>LEN(C658)</f>
        <v>4</v>
      </c>
      <c r="I658" s="11">
        <f>MOD(H658,2)*4+FLOOR(H658/2,1)*6</f>
        <v>12</v>
      </c>
      <c r="J658" s="12">
        <f>I658+I659</f>
        <v>28</v>
      </c>
      <c r="K658" s="20"/>
      <c r="L658" s="13" t="str">
        <f>IF(R658&lt;=12,"有效","无效")</f>
        <v>有效</v>
      </c>
      <c r="M658" s="32" t="s">
        <v>1297</v>
      </c>
      <c r="N658" s="32"/>
      <c r="O658" s="32"/>
      <c r="P658" s="32"/>
      <c r="Q658" s="33"/>
      <c r="R658" s="10">
        <f>LEN(M658)</f>
        <v>11</v>
      </c>
      <c r="S658" s="10">
        <f>MOD(R658,2)*4+FLOOR(R658/2,1)*6</f>
        <v>34</v>
      </c>
      <c r="T658" s="12">
        <f>S658+S659</f>
        <v>56</v>
      </c>
    </row>
    <row r="659" spans="1:20" ht="20" customHeight="1">
      <c r="A659" s="22"/>
      <c r="B659" s="6" t="str">
        <f>IF(H659&lt;=12,"有效","无效")</f>
        <v>有效</v>
      </c>
      <c r="C659" s="34" t="s">
        <v>2157</v>
      </c>
      <c r="D659" s="35"/>
      <c r="E659" s="35"/>
      <c r="F659" s="35"/>
      <c r="G659" s="36"/>
      <c r="H659" s="4">
        <f>LEN(C659)</f>
        <v>5</v>
      </c>
      <c r="I659" s="11">
        <f>MOD(H659,2)*4+FLOOR(H659/2,1)*6</f>
        <v>16</v>
      </c>
      <c r="J659" s="12" t="str">
        <f>IF(J658&lt;I657,"有效","无效")</f>
        <v>有效</v>
      </c>
      <c r="K659" s="20"/>
      <c r="L659" s="6" t="str">
        <f>IF(R659&lt;=12,"有效","无效")</f>
        <v>有效</v>
      </c>
      <c r="M659" s="31" t="s">
        <v>1298</v>
      </c>
      <c r="N659" s="32"/>
      <c r="O659" s="32"/>
      <c r="P659" s="32"/>
      <c r="Q659" s="33"/>
      <c r="R659" s="10">
        <f>LEN(M659)</f>
        <v>7</v>
      </c>
      <c r="S659" s="10">
        <f>MOD(R659,2)*4+FLOOR(R659/2,1)*6</f>
        <v>22</v>
      </c>
      <c r="T659" s="12" t="str">
        <f>IF(T658&lt;I657,"有效","无效")</f>
        <v>有效</v>
      </c>
    </row>
    <row r="660" spans="1:20" ht="20" customHeight="1">
      <c r="A660" s="22"/>
      <c r="B660" s="6" t="str">
        <f>IF(H660&lt;=12,"有效","无效")</f>
        <v>有效</v>
      </c>
      <c r="C660" s="34" t="s">
        <v>2158</v>
      </c>
      <c r="D660" s="35"/>
      <c r="E660" s="35"/>
      <c r="F660" s="35"/>
      <c r="G660" s="36"/>
      <c r="H660" s="4">
        <f>LEN(C660)</f>
        <v>11</v>
      </c>
      <c r="I660" s="11">
        <f>MOD(H660,2)*4+FLOOR(H660/2,1)*6</f>
        <v>34</v>
      </c>
      <c r="J660" s="12">
        <f>I660+I661</f>
        <v>62</v>
      </c>
      <c r="K660" s="20"/>
      <c r="L660" s="6" t="str">
        <f>IF(R660&lt;=12,"有效","无效")</f>
        <v>有效</v>
      </c>
      <c r="M660" s="31" t="s">
        <v>1299</v>
      </c>
      <c r="N660" s="32"/>
      <c r="O660" s="32"/>
      <c r="P660" s="32"/>
      <c r="Q660" s="33"/>
      <c r="R660" s="10">
        <f>LEN(M660)</f>
        <v>5</v>
      </c>
      <c r="S660" s="10">
        <f>MOD(R660,2)*4+FLOOR(R660/2,1)*6</f>
        <v>16</v>
      </c>
      <c r="T660" s="12">
        <f>S660+S661</f>
        <v>34</v>
      </c>
    </row>
    <row r="661" spans="1:20" ht="20" customHeight="1">
      <c r="A661" s="22"/>
      <c r="B661" s="6" t="str">
        <f>IF(H661&lt;=12,"有效","无效")</f>
        <v>有效</v>
      </c>
      <c r="C661" s="34" t="s">
        <v>2159</v>
      </c>
      <c r="D661" s="35"/>
      <c r="E661" s="35"/>
      <c r="F661" s="35"/>
      <c r="G661" s="36"/>
      <c r="H661" s="4">
        <f>LEN(C661)</f>
        <v>9</v>
      </c>
      <c r="I661" s="11">
        <f>MOD(H661,2)*4+FLOOR(H661/2,1)*6</f>
        <v>28</v>
      </c>
      <c r="J661" s="12" t="str">
        <f>IF(J660&lt;I657,"有效","无效")</f>
        <v>有效</v>
      </c>
      <c r="K661" s="20"/>
      <c r="L661" s="6" t="str">
        <f>IF(R661&lt;=12,"有效","无效")</f>
        <v>有效</v>
      </c>
      <c r="M661" s="31" t="s">
        <v>1300</v>
      </c>
      <c r="N661" s="32"/>
      <c r="O661" s="32"/>
      <c r="P661" s="32"/>
      <c r="Q661" s="33"/>
      <c r="R661" s="10">
        <f>LEN(M661)</f>
        <v>6</v>
      </c>
      <c r="S661" s="10">
        <f>MOD(R661,2)*4+FLOOR(R661/2,1)*6</f>
        <v>18</v>
      </c>
      <c r="T661" s="12" t="str">
        <f>IF(T660&lt;I657,"有效","无效")</f>
        <v>有效</v>
      </c>
    </row>
    <row r="662" spans="1:20" ht="20" customHeight="1">
      <c r="A662" s="22">
        <v>133</v>
      </c>
      <c r="B662" s="23" t="s">
        <v>216</v>
      </c>
      <c r="C662" s="24" t="s">
        <v>217</v>
      </c>
      <c r="D662" s="14">
        <f>LEN($B662)</f>
        <v>2</v>
      </c>
      <c r="E662" s="14">
        <f>LEN(C662)+3</f>
        <v>5</v>
      </c>
      <c r="F662" s="14">
        <f>MOD(D662,2)*4+FLOOR(D662/2,1)*6</f>
        <v>6</v>
      </c>
      <c r="G662" s="14">
        <f>MOD(E662,2)*4+FLOOR(E662/2,1)*6</f>
        <v>16</v>
      </c>
      <c r="H662" s="14">
        <v>12</v>
      </c>
      <c r="I662" s="14">
        <f>108-H662-G662-F662</f>
        <v>74</v>
      </c>
    </row>
    <row r="663" spans="1:20" ht="20" customHeight="1">
      <c r="A663" s="22"/>
      <c r="B663" s="6" t="str">
        <f>IF(H663&lt;=12,"有效","无效")</f>
        <v>有效</v>
      </c>
      <c r="C663" s="31" t="s">
        <v>1301</v>
      </c>
      <c r="D663" s="32"/>
      <c r="E663" s="32"/>
      <c r="F663" s="32"/>
      <c r="G663" s="33"/>
      <c r="H663" s="4">
        <f>LEN(C663)</f>
        <v>4</v>
      </c>
      <c r="I663" s="11">
        <f>MOD(H663,2)*4+FLOOR(H663/2,1)*6</f>
        <v>12</v>
      </c>
      <c r="J663" s="12">
        <f>I663+I664</f>
        <v>42</v>
      </c>
      <c r="K663" s="20"/>
      <c r="L663" s="13" t="str">
        <f>IF(R663&lt;=12,"有效","无效")</f>
        <v>有效</v>
      </c>
      <c r="M663" s="35" t="s">
        <v>1305</v>
      </c>
      <c r="N663" s="35"/>
      <c r="O663" s="35"/>
      <c r="P663" s="35"/>
      <c r="Q663" s="36"/>
      <c r="R663" s="10">
        <f>LEN(M663)</f>
        <v>8</v>
      </c>
      <c r="S663" s="10">
        <f>MOD(R663,2)*4+FLOOR(R663/2,1)*6</f>
        <v>24</v>
      </c>
      <c r="T663" s="12">
        <f>S663+S664</f>
        <v>46</v>
      </c>
    </row>
    <row r="664" spans="1:20" ht="20" customHeight="1">
      <c r="A664" s="22"/>
      <c r="B664" s="6" t="str">
        <f>IF(H664&lt;=12,"有效","无效")</f>
        <v>有效</v>
      </c>
      <c r="C664" s="31" t="s">
        <v>1302</v>
      </c>
      <c r="D664" s="32"/>
      <c r="E664" s="32"/>
      <c r="F664" s="32"/>
      <c r="G664" s="33"/>
      <c r="H664" s="4">
        <f>LEN(C664)</f>
        <v>10</v>
      </c>
      <c r="I664" s="11">
        <f>MOD(H664,2)*4+FLOOR(H664/2,1)*6</f>
        <v>30</v>
      </c>
      <c r="J664" s="12" t="str">
        <f>IF(J663&lt;I662,"有效","无效")</f>
        <v>有效</v>
      </c>
      <c r="K664" s="20"/>
      <c r="L664" s="6" t="str">
        <f>IF(R664&lt;=12,"有效","无效")</f>
        <v>有效</v>
      </c>
      <c r="M664" s="34" t="s">
        <v>1306</v>
      </c>
      <c r="N664" s="35"/>
      <c r="O664" s="35"/>
      <c r="P664" s="35"/>
      <c r="Q664" s="36"/>
      <c r="R664" s="10">
        <f>LEN(M664)</f>
        <v>7</v>
      </c>
      <c r="S664" s="10">
        <f>MOD(R664,2)*4+FLOOR(R664/2,1)*6</f>
        <v>22</v>
      </c>
      <c r="T664" s="12" t="str">
        <f>IF(T663&lt;I662,"有效","无效")</f>
        <v>有效</v>
      </c>
    </row>
    <row r="665" spans="1:20" ht="20" customHeight="1">
      <c r="A665" s="22"/>
      <c r="B665" s="6" t="str">
        <f>IF(H665&lt;=12,"有效","无效")</f>
        <v>有效</v>
      </c>
      <c r="C665" s="31" t="s">
        <v>1303</v>
      </c>
      <c r="D665" s="32"/>
      <c r="E665" s="32"/>
      <c r="F665" s="32"/>
      <c r="G665" s="33"/>
      <c r="H665" s="4">
        <f>LEN(C665)</f>
        <v>7</v>
      </c>
      <c r="I665" s="11">
        <f>MOD(H665,2)*4+FLOOR(H665/2,1)*6</f>
        <v>22</v>
      </c>
      <c r="J665" s="12">
        <f>I665+I666</f>
        <v>34</v>
      </c>
      <c r="K665" s="20"/>
      <c r="L665" s="6" t="str">
        <f>IF(R665&lt;=12,"有效","无效")</f>
        <v>有效</v>
      </c>
      <c r="M665" s="34" t="s">
        <v>1307</v>
      </c>
      <c r="N665" s="35"/>
      <c r="O665" s="35"/>
      <c r="P665" s="35"/>
      <c r="Q665" s="36"/>
      <c r="R665" s="10">
        <f>LEN(M665)</f>
        <v>6</v>
      </c>
      <c r="S665" s="10">
        <f>MOD(R665,2)*4+FLOOR(R665/2,1)*6</f>
        <v>18</v>
      </c>
      <c r="T665" s="12">
        <f>S665+S666</f>
        <v>34</v>
      </c>
    </row>
    <row r="666" spans="1:20" ht="20" customHeight="1">
      <c r="A666" s="22"/>
      <c r="B666" s="6" t="str">
        <f>IF(H666&lt;=12,"有效","无效")</f>
        <v>有效</v>
      </c>
      <c r="C666" s="31" t="s">
        <v>1304</v>
      </c>
      <c r="D666" s="32"/>
      <c r="E666" s="32"/>
      <c r="F666" s="32"/>
      <c r="G666" s="33"/>
      <c r="H666" s="4">
        <f>LEN(C666)</f>
        <v>4</v>
      </c>
      <c r="I666" s="11">
        <f>MOD(H666,2)*4+FLOOR(H666/2,1)*6</f>
        <v>12</v>
      </c>
      <c r="J666" s="12" t="str">
        <f>IF(J665&lt;I662,"有效","无效")</f>
        <v>有效</v>
      </c>
      <c r="K666" s="20"/>
      <c r="L666" s="6" t="str">
        <f>IF(R666&lt;=12,"有效","无效")</f>
        <v>有效</v>
      </c>
      <c r="M666" s="34" t="s">
        <v>1308</v>
      </c>
      <c r="N666" s="35"/>
      <c r="O666" s="35"/>
      <c r="P666" s="35"/>
      <c r="Q666" s="36"/>
      <c r="R666" s="10">
        <f>LEN(M666)</f>
        <v>5</v>
      </c>
      <c r="S666" s="10">
        <f>MOD(R666,2)*4+FLOOR(R666/2,1)*6</f>
        <v>16</v>
      </c>
      <c r="T666" s="12" t="str">
        <f>IF(T665&lt;I662,"有效","无效")</f>
        <v>有效</v>
      </c>
    </row>
    <row r="667" spans="1:20" ht="20" customHeight="1">
      <c r="A667" s="22">
        <v>134</v>
      </c>
      <c r="B667" s="23" t="s">
        <v>218</v>
      </c>
      <c r="C667" s="24" t="s">
        <v>219</v>
      </c>
      <c r="D667" s="14">
        <f>LEN($B667)</f>
        <v>3</v>
      </c>
      <c r="E667" s="14">
        <f>LEN(C667)+3</f>
        <v>5</v>
      </c>
      <c r="F667" s="14">
        <f>MOD(D667,2)*4+FLOOR(D667/2,1)*6</f>
        <v>10</v>
      </c>
      <c r="G667" s="14">
        <f>MOD(E667,2)*4+FLOOR(E667/2,1)*6</f>
        <v>16</v>
      </c>
      <c r="H667" s="14">
        <v>12</v>
      </c>
      <c r="I667" s="14">
        <f>108-H667-G667-F667</f>
        <v>70</v>
      </c>
    </row>
    <row r="668" spans="1:20" ht="20" customHeight="1">
      <c r="A668" s="22"/>
      <c r="B668" s="6" t="str">
        <f>IF(H668&lt;=12,"有效","无效")</f>
        <v>有效</v>
      </c>
      <c r="C668" s="31" t="s">
        <v>1310</v>
      </c>
      <c r="D668" s="32"/>
      <c r="E668" s="32"/>
      <c r="F668" s="32"/>
      <c r="G668" s="33"/>
      <c r="H668" s="4">
        <f>LEN(C668)</f>
        <v>10</v>
      </c>
      <c r="I668" s="11">
        <f>MOD(H668,2)*4+FLOOR(H668/2,1)*6</f>
        <v>30</v>
      </c>
      <c r="J668" s="12">
        <f>I668+I669</f>
        <v>54</v>
      </c>
      <c r="K668" s="20"/>
      <c r="L668" s="13" t="str">
        <f>IF(R668&lt;=12,"有效","无效")</f>
        <v>有效</v>
      </c>
      <c r="M668" s="32" t="s">
        <v>2306</v>
      </c>
      <c r="N668" s="32"/>
      <c r="O668" s="32"/>
      <c r="P668" s="32"/>
      <c r="Q668" s="33"/>
      <c r="R668" s="10">
        <f>LEN(M668)</f>
        <v>2</v>
      </c>
      <c r="S668" s="10">
        <f>MOD(R668,2)*4+FLOOR(R668/2,1)*6</f>
        <v>6</v>
      </c>
      <c r="T668" s="12">
        <f>S668+S669</f>
        <v>30</v>
      </c>
    </row>
    <row r="669" spans="1:20" ht="20" customHeight="1">
      <c r="A669" s="22"/>
      <c r="B669" s="6" t="str">
        <f>IF(H669&lt;=12,"有效","无效")</f>
        <v>有效</v>
      </c>
      <c r="C669" s="31" t="s">
        <v>1309</v>
      </c>
      <c r="D669" s="32"/>
      <c r="E669" s="32"/>
      <c r="F669" s="32"/>
      <c r="G669" s="33"/>
      <c r="H669" s="4">
        <f>LEN(C669)</f>
        <v>8</v>
      </c>
      <c r="I669" s="11">
        <f>MOD(H669,2)*4+FLOOR(H669/2,1)*6</f>
        <v>24</v>
      </c>
      <c r="J669" s="12" t="str">
        <f>IF(J668&lt;I667,"有效","无效")</f>
        <v>有效</v>
      </c>
      <c r="K669" s="20"/>
      <c r="L669" s="6" t="str">
        <f>IF(R669&lt;=12,"有效","无效")</f>
        <v>有效</v>
      </c>
      <c r="M669" s="31" t="s">
        <v>2307</v>
      </c>
      <c r="N669" s="32"/>
      <c r="O669" s="32"/>
      <c r="P669" s="32"/>
      <c r="Q669" s="33"/>
      <c r="R669" s="10">
        <f>LEN(M669)</f>
        <v>8</v>
      </c>
      <c r="S669" s="10">
        <f>MOD(R669,2)*4+FLOOR(R669/2,1)*6</f>
        <v>24</v>
      </c>
      <c r="T669" s="12" t="str">
        <f>IF(T668&lt;I667,"有效","无效")</f>
        <v>有效</v>
      </c>
    </row>
    <row r="670" spans="1:20" ht="20" customHeight="1">
      <c r="A670" s="22"/>
      <c r="B670" s="6" t="str">
        <f>IF(H670&lt;=12,"有效","无效")</f>
        <v>有效</v>
      </c>
      <c r="C670" s="31" t="s">
        <v>1311</v>
      </c>
      <c r="D670" s="32"/>
      <c r="E670" s="32"/>
      <c r="F670" s="32"/>
      <c r="G670" s="33"/>
      <c r="H670" s="4">
        <f>LEN(C670)</f>
        <v>9</v>
      </c>
      <c r="I670" s="11">
        <f>MOD(H670,2)*4+FLOOR(H670/2,1)*6</f>
        <v>28</v>
      </c>
      <c r="J670" s="12">
        <f>I670+I671</f>
        <v>44</v>
      </c>
      <c r="K670" s="20"/>
      <c r="L670" s="6" t="str">
        <f>IF(R670&lt;=12,"有效","无效")</f>
        <v>有效</v>
      </c>
      <c r="M670" s="31" t="s">
        <v>2305</v>
      </c>
      <c r="N670" s="32"/>
      <c r="O670" s="32"/>
      <c r="P670" s="32"/>
      <c r="Q670" s="33"/>
      <c r="R670" s="10">
        <f>LEN(M670)</f>
        <v>12</v>
      </c>
      <c r="S670" s="10">
        <f>MOD(R670,2)*4+FLOOR(R670/2,1)*6</f>
        <v>36</v>
      </c>
      <c r="T670" s="12">
        <f>S670+S671</f>
        <v>70</v>
      </c>
    </row>
    <row r="671" spans="1:20" ht="20" customHeight="1">
      <c r="A671" s="22"/>
      <c r="B671" s="6" t="str">
        <f>IF(H671&lt;=12,"有效","无效")</f>
        <v>有效</v>
      </c>
      <c r="C671" s="31" t="s">
        <v>1312</v>
      </c>
      <c r="D671" s="32"/>
      <c r="E671" s="32"/>
      <c r="F671" s="32"/>
      <c r="G671" s="33"/>
      <c r="H671" s="4">
        <f>LEN(C671)</f>
        <v>5</v>
      </c>
      <c r="I671" s="11">
        <f>MOD(H671,2)*4+FLOOR(H671/2,1)*6</f>
        <v>16</v>
      </c>
      <c r="J671" s="12" t="str">
        <f>IF(J670&lt;I667,"有效","无效")</f>
        <v>有效</v>
      </c>
      <c r="K671" s="20"/>
      <c r="L671" s="6" t="str">
        <f>IF(R671&lt;=12,"有效","无效")</f>
        <v>有效</v>
      </c>
      <c r="M671" s="31" t="s">
        <v>1313</v>
      </c>
      <c r="N671" s="32"/>
      <c r="O671" s="32"/>
      <c r="P671" s="32"/>
      <c r="Q671" s="33"/>
      <c r="R671" s="10">
        <f>LEN(M671)</f>
        <v>11</v>
      </c>
      <c r="S671" s="10">
        <f>MOD(R671,2)*4+FLOOR(R671/2,1)*6</f>
        <v>34</v>
      </c>
      <c r="T671" s="12" t="str">
        <f>IF(T670&lt;I667,"有效","无效")</f>
        <v>无效</v>
      </c>
    </row>
    <row r="672" spans="1:20" ht="20" customHeight="1">
      <c r="A672" s="22">
        <v>135</v>
      </c>
      <c r="B672" s="23" t="s">
        <v>220</v>
      </c>
      <c r="C672" s="24" t="s">
        <v>221</v>
      </c>
      <c r="D672" s="14">
        <f>LEN($B672)</f>
        <v>3</v>
      </c>
      <c r="E672" s="14">
        <f>LEN(C672)+3</f>
        <v>4</v>
      </c>
      <c r="F672" s="14">
        <f>MOD(D672,2)*4+FLOOR(D672/2,1)*6</f>
        <v>10</v>
      </c>
      <c r="G672" s="14">
        <f>MOD(E672,2)*4+FLOOR(E672/2,1)*6</f>
        <v>12</v>
      </c>
      <c r="H672" s="14">
        <v>12</v>
      </c>
      <c r="I672" s="14">
        <f>108-H672-G672-F672</f>
        <v>74</v>
      </c>
    </row>
    <row r="673" spans="1:20" ht="20" customHeight="1">
      <c r="A673" s="22"/>
      <c r="B673" s="6" t="str">
        <f>IF(H673&lt;=12,"有效","无效")</f>
        <v>有效</v>
      </c>
      <c r="C673" s="31" t="s">
        <v>1316</v>
      </c>
      <c r="D673" s="32"/>
      <c r="E673" s="32"/>
      <c r="F673" s="32"/>
      <c r="G673" s="33"/>
      <c r="H673" s="4">
        <f>LEN(C673)</f>
        <v>9</v>
      </c>
      <c r="I673" s="11">
        <f>MOD(H673,2)*4+FLOOR(H673/2,1)*6</f>
        <v>28</v>
      </c>
      <c r="J673" s="12">
        <f>I673+I674</f>
        <v>46</v>
      </c>
      <c r="K673" s="20"/>
      <c r="L673" s="13" t="str">
        <f>IF(R673&lt;=12,"有效","无效")</f>
        <v>有效</v>
      </c>
      <c r="M673" s="32" t="s">
        <v>1317</v>
      </c>
      <c r="N673" s="32"/>
      <c r="O673" s="32"/>
      <c r="P673" s="32"/>
      <c r="Q673" s="33"/>
      <c r="R673" s="10">
        <f>LEN(M673)</f>
        <v>5</v>
      </c>
      <c r="S673" s="10">
        <f>MOD(R673,2)*4+FLOOR(R673/2,1)*6</f>
        <v>16</v>
      </c>
      <c r="T673" s="12">
        <f>S673+S674</f>
        <v>32</v>
      </c>
    </row>
    <row r="674" spans="1:20" ht="20" customHeight="1">
      <c r="A674" s="22"/>
      <c r="B674" s="6" t="str">
        <f>IF(H674&lt;=12,"有效","无效")</f>
        <v>有效</v>
      </c>
      <c r="C674" s="31" t="s">
        <v>1204</v>
      </c>
      <c r="D674" s="32"/>
      <c r="E674" s="32"/>
      <c r="F674" s="32"/>
      <c r="G674" s="33"/>
      <c r="H674" s="4">
        <f>LEN(C674)</f>
        <v>6</v>
      </c>
      <c r="I674" s="11">
        <f>MOD(H674,2)*4+FLOOR(H674/2,1)*6</f>
        <v>18</v>
      </c>
      <c r="J674" s="12" t="str">
        <f>IF(J673&lt;I672,"有效","无效")</f>
        <v>有效</v>
      </c>
      <c r="K674" s="20"/>
      <c r="L674" s="6" t="str">
        <f>IF(R674&lt;=12,"有效","无效")</f>
        <v>有效</v>
      </c>
      <c r="M674" s="31" t="s">
        <v>1318</v>
      </c>
      <c r="N674" s="32"/>
      <c r="O674" s="32"/>
      <c r="P674" s="32"/>
      <c r="Q674" s="33"/>
      <c r="R674" s="10">
        <f>LEN(M674)</f>
        <v>5</v>
      </c>
      <c r="S674" s="10">
        <f>MOD(R674,2)*4+FLOOR(R674/2,1)*6</f>
        <v>16</v>
      </c>
      <c r="T674" s="12" t="str">
        <f>IF(T673&lt;I672,"有效","无效")</f>
        <v>有效</v>
      </c>
    </row>
    <row r="675" spans="1:20" ht="20" customHeight="1">
      <c r="A675" s="22"/>
      <c r="B675" s="6" t="str">
        <f>IF(H675&lt;=12,"有效","无效")</f>
        <v>有效</v>
      </c>
      <c r="C675" s="31" t="s">
        <v>1314</v>
      </c>
      <c r="D675" s="32"/>
      <c r="E675" s="32"/>
      <c r="F675" s="32"/>
      <c r="G675" s="33"/>
      <c r="H675" s="4">
        <f>LEN(C675)</f>
        <v>4</v>
      </c>
      <c r="I675" s="11">
        <f>MOD(H675,2)*4+FLOOR(H675/2,1)*6</f>
        <v>12</v>
      </c>
      <c r="J675" s="12">
        <f>I675+I676</f>
        <v>30</v>
      </c>
      <c r="K675" s="20"/>
      <c r="L675" s="6" t="str">
        <f>IF(R675&lt;=12,"有效","无效")</f>
        <v>有效</v>
      </c>
      <c r="M675" s="31" t="s">
        <v>1319</v>
      </c>
      <c r="N675" s="32"/>
      <c r="O675" s="32"/>
      <c r="P675" s="32"/>
      <c r="Q675" s="33"/>
      <c r="R675" s="10">
        <f>LEN(M675)</f>
        <v>7</v>
      </c>
      <c r="S675" s="10">
        <f>MOD(R675,2)*4+FLOOR(R675/2,1)*6</f>
        <v>22</v>
      </c>
      <c r="T675" s="12">
        <f>S675+S676</f>
        <v>56</v>
      </c>
    </row>
    <row r="676" spans="1:20" ht="20" customHeight="1">
      <c r="A676" s="22"/>
      <c r="B676" s="6" t="str">
        <f>IF(H676&lt;=12,"有效","无效")</f>
        <v>有效</v>
      </c>
      <c r="C676" s="31" t="s">
        <v>1315</v>
      </c>
      <c r="D676" s="32"/>
      <c r="E676" s="32"/>
      <c r="F676" s="32"/>
      <c r="G676" s="33"/>
      <c r="H676" s="4">
        <f>LEN(C676)</f>
        <v>6</v>
      </c>
      <c r="I676" s="11">
        <f>MOD(H676,2)*4+FLOOR(H676/2,1)*6</f>
        <v>18</v>
      </c>
      <c r="J676" s="12" t="str">
        <f>IF(J675&lt;I672,"有效","无效")</f>
        <v>有效</v>
      </c>
      <c r="K676" s="20"/>
      <c r="L676" s="6" t="str">
        <f>IF(R676&lt;=12,"有效","无效")</f>
        <v>有效</v>
      </c>
      <c r="M676" s="31" t="s">
        <v>1320</v>
      </c>
      <c r="N676" s="32"/>
      <c r="O676" s="32"/>
      <c r="P676" s="32"/>
      <c r="Q676" s="33"/>
      <c r="R676" s="10">
        <f>LEN(M676)</f>
        <v>11</v>
      </c>
      <c r="S676" s="10">
        <f>MOD(R676,2)*4+FLOOR(R676/2,1)*6</f>
        <v>34</v>
      </c>
      <c r="T676" s="12" t="str">
        <f>IF(T675&lt;I672,"有效","无效")</f>
        <v>有效</v>
      </c>
    </row>
    <row r="677" spans="1:20" ht="20" customHeight="1">
      <c r="A677" s="22">
        <v>136</v>
      </c>
      <c r="B677" s="23" t="s">
        <v>222</v>
      </c>
      <c r="C677" s="24" t="s">
        <v>223</v>
      </c>
      <c r="D677" s="14">
        <f>LEN($B677)</f>
        <v>3</v>
      </c>
      <c r="E677" s="14">
        <f>LEN(C677)+3</f>
        <v>4</v>
      </c>
      <c r="F677" s="14">
        <f>MOD(D677,2)*4+FLOOR(D677/2,1)*6</f>
        <v>10</v>
      </c>
      <c r="G677" s="14">
        <f>MOD(E677,2)*4+FLOOR(E677/2,1)*6</f>
        <v>12</v>
      </c>
      <c r="H677" s="14">
        <v>12</v>
      </c>
      <c r="I677" s="14">
        <f>108-H677-G677-F677</f>
        <v>74</v>
      </c>
    </row>
    <row r="678" spans="1:20" ht="20" customHeight="1">
      <c r="A678" s="22"/>
      <c r="B678" s="6" t="str">
        <f>IF(H678&lt;=12,"有效","无效")</f>
        <v>有效</v>
      </c>
      <c r="C678" s="31" t="s">
        <v>1321</v>
      </c>
      <c r="D678" s="32"/>
      <c r="E678" s="32"/>
      <c r="F678" s="32"/>
      <c r="G678" s="33"/>
      <c r="H678" s="4">
        <f>LEN(C678)</f>
        <v>5</v>
      </c>
      <c r="I678" s="11">
        <f>MOD(H678,2)*4+FLOOR(H678/2,1)*6</f>
        <v>16</v>
      </c>
      <c r="J678" s="12">
        <f>I678+I679</f>
        <v>34</v>
      </c>
      <c r="K678" s="20"/>
      <c r="L678" s="13" t="str">
        <f>IF(R678&lt;=12,"有效","无效")</f>
        <v>有效</v>
      </c>
      <c r="M678" s="32" t="s">
        <v>1325</v>
      </c>
      <c r="N678" s="32"/>
      <c r="O678" s="32"/>
      <c r="P678" s="32"/>
      <c r="Q678" s="33"/>
      <c r="R678" s="10">
        <f>LEN(M678)</f>
        <v>4</v>
      </c>
      <c r="S678" s="10">
        <f>MOD(R678,2)*4+FLOOR(R678/2,1)*6</f>
        <v>12</v>
      </c>
      <c r="T678" s="12">
        <f>S678+S679</f>
        <v>30</v>
      </c>
    </row>
    <row r="679" spans="1:20" ht="20" customHeight="1">
      <c r="A679" s="22"/>
      <c r="B679" s="6" t="str">
        <f>IF(H679&lt;=12,"有效","无效")</f>
        <v>有效</v>
      </c>
      <c r="C679" s="31" t="s">
        <v>1322</v>
      </c>
      <c r="D679" s="32"/>
      <c r="E679" s="32"/>
      <c r="F679" s="32"/>
      <c r="G679" s="33"/>
      <c r="H679" s="4">
        <f>LEN(C679)</f>
        <v>6</v>
      </c>
      <c r="I679" s="11">
        <f>MOD(H679,2)*4+FLOOR(H679/2,1)*6</f>
        <v>18</v>
      </c>
      <c r="J679" s="12" t="str">
        <f>IF(J678&lt;I677,"有效","无效")</f>
        <v>有效</v>
      </c>
      <c r="K679" s="20"/>
      <c r="L679" s="6" t="str">
        <f>IF(R679&lt;=12,"有效","无效")</f>
        <v>有效</v>
      </c>
      <c r="M679" s="31" t="s">
        <v>1326</v>
      </c>
      <c r="N679" s="32"/>
      <c r="O679" s="32"/>
      <c r="P679" s="32"/>
      <c r="Q679" s="33"/>
      <c r="R679" s="10">
        <f>LEN(M679)</f>
        <v>6</v>
      </c>
      <c r="S679" s="10">
        <f>MOD(R679,2)*4+FLOOR(R679/2,1)*6</f>
        <v>18</v>
      </c>
      <c r="T679" s="12" t="str">
        <f>IF(T678&lt;I677,"有效","无效")</f>
        <v>有效</v>
      </c>
    </row>
    <row r="680" spans="1:20" ht="20" customHeight="1">
      <c r="A680" s="22"/>
      <c r="B680" s="6" t="str">
        <f>IF(H680&lt;=12,"有效","无效")</f>
        <v>有效</v>
      </c>
      <c r="C680" s="31" t="s">
        <v>1323</v>
      </c>
      <c r="D680" s="32"/>
      <c r="E680" s="32"/>
      <c r="F680" s="32"/>
      <c r="G680" s="33"/>
      <c r="H680" s="4">
        <f>LEN(C680)</f>
        <v>12</v>
      </c>
      <c r="I680" s="11">
        <f>MOD(H680,2)*4+FLOOR(H680/2,1)*6</f>
        <v>36</v>
      </c>
      <c r="J680" s="12">
        <f>I680+I681</f>
        <v>72</v>
      </c>
      <c r="K680" s="20"/>
      <c r="L680" s="6" t="str">
        <f>IF(R680&lt;=12,"有效","无效")</f>
        <v>有效</v>
      </c>
      <c r="M680" s="31" t="s">
        <v>1327</v>
      </c>
      <c r="N680" s="32"/>
      <c r="O680" s="32"/>
      <c r="P680" s="32"/>
      <c r="Q680" s="33"/>
      <c r="R680" s="10">
        <f>LEN(M680)</f>
        <v>8</v>
      </c>
      <c r="S680" s="10">
        <f>MOD(R680,2)*4+FLOOR(R680/2,1)*6</f>
        <v>24</v>
      </c>
      <c r="T680" s="12">
        <f>S680+S681</f>
        <v>48</v>
      </c>
    </row>
    <row r="681" spans="1:20" ht="20" customHeight="1">
      <c r="A681" s="22"/>
      <c r="B681" s="6" t="str">
        <f>IF(H681&lt;=12,"有效","无效")</f>
        <v>有效</v>
      </c>
      <c r="C681" s="31" t="s">
        <v>1324</v>
      </c>
      <c r="D681" s="32"/>
      <c r="E681" s="32"/>
      <c r="F681" s="32"/>
      <c r="G681" s="33"/>
      <c r="H681" s="4">
        <f>LEN(C681)</f>
        <v>12</v>
      </c>
      <c r="I681" s="11">
        <f>MOD(H681,2)*4+FLOOR(H681/2,1)*6</f>
        <v>36</v>
      </c>
      <c r="J681" s="12" t="str">
        <f>IF(J680&lt;I677,"有效","无效")</f>
        <v>有效</v>
      </c>
      <c r="K681" s="20"/>
      <c r="L681" s="6" t="str">
        <f>IF(R681&lt;=12,"有效","无效")</f>
        <v>有效</v>
      </c>
      <c r="M681" s="31" t="s">
        <v>1328</v>
      </c>
      <c r="N681" s="32"/>
      <c r="O681" s="32"/>
      <c r="P681" s="32"/>
      <c r="Q681" s="33"/>
      <c r="R681" s="10">
        <f>LEN(M681)</f>
        <v>8</v>
      </c>
      <c r="S681" s="10">
        <f>MOD(R681,2)*4+FLOOR(R681/2,1)*6</f>
        <v>24</v>
      </c>
      <c r="T681" s="12" t="str">
        <f>IF(T680&lt;I677,"有效","无效")</f>
        <v>有效</v>
      </c>
    </row>
    <row r="682" spans="1:20" ht="20" customHeight="1">
      <c r="A682" s="22">
        <v>137</v>
      </c>
      <c r="B682" s="23" t="s">
        <v>224</v>
      </c>
      <c r="C682" s="24" t="s">
        <v>225</v>
      </c>
      <c r="D682" s="14">
        <f>LEN($B682)</f>
        <v>3</v>
      </c>
      <c r="E682" s="14">
        <f>LEN(C682)+3</f>
        <v>5</v>
      </c>
      <c r="F682" s="14">
        <f>MOD(D682,2)*4+FLOOR(D682/2,1)*6</f>
        <v>10</v>
      </c>
      <c r="G682" s="14">
        <f>MOD(E682,2)*4+FLOOR(E682/2,1)*6</f>
        <v>16</v>
      </c>
      <c r="H682" s="14">
        <v>12</v>
      </c>
      <c r="I682" s="14">
        <f>108-H682-G682-F682</f>
        <v>70</v>
      </c>
    </row>
    <row r="683" spans="1:20" ht="20" customHeight="1">
      <c r="A683" s="22"/>
      <c r="B683" s="6" t="str">
        <f>IF(H683&lt;=12,"有效","无效")</f>
        <v>有效</v>
      </c>
      <c r="C683" s="31" t="s">
        <v>1329</v>
      </c>
      <c r="D683" s="32"/>
      <c r="E683" s="32"/>
      <c r="F683" s="32"/>
      <c r="G683" s="33"/>
      <c r="H683" s="4">
        <f>LEN(C683)</f>
        <v>7</v>
      </c>
      <c r="I683" s="11">
        <f>MOD(H683,2)*4+FLOOR(H683/2,1)*6</f>
        <v>22</v>
      </c>
      <c r="J683" s="12">
        <f>I683+I684</f>
        <v>50</v>
      </c>
      <c r="K683" s="20"/>
      <c r="L683" s="13" t="str">
        <f>IF(R683&lt;=12,"有效","无效")</f>
        <v>有效</v>
      </c>
      <c r="M683" s="32" t="s">
        <v>1333</v>
      </c>
      <c r="N683" s="32"/>
      <c r="O683" s="32"/>
      <c r="P683" s="32"/>
      <c r="Q683" s="33"/>
      <c r="R683" s="10">
        <f>LEN(M683)</f>
        <v>9</v>
      </c>
      <c r="S683" s="10">
        <f>MOD(R683,2)*4+FLOOR(R683/2,1)*6</f>
        <v>28</v>
      </c>
      <c r="T683" s="12">
        <f>S683+S684</f>
        <v>46</v>
      </c>
    </row>
    <row r="684" spans="1:20" ht="20" customHeight="1">
      <c r="A684" s="22"/>
      <c r="B684" s="6" t="str">
        <f>IF(H684&lt;=12,"有效","无效")</f>
        <v>有效</v>
      </c>
      <c r="C684" s="31" t="s">
        <v>1330</v>
      </c>
      <c r="D684" s="32"/>
      <c r="E684" s="32"/>
      <c r="F684" s="32"/>
      <c r="G684" s="33"/>
      <c r="H684" s="4">
        <f>LEN(C684)</f>
        <v>9</v>
      </c>
      <c r="I684" s="11">
        <f>MOD(H684,2)*4+FLOOR(H684/2,1)*6</f>
        <v>28</v>
      </c>
      <c r="J684" s="12" t="str">
        <f>IF(J683&lt;I682,"有效","无效")</f>
        <v>有效</v>
      </c>
      <c r="K684" s="20"/>
      <c r="L684" s="6" t="str">
        <f>IF(R684&lt;=12,"有效","无效")</f>
        <v>有效</v>
      </c>
      <c r="M684" s="31" t="s">
        <v>1332</v>
      </c>
      <c r="N684" s="32"/>
      <c r="O684" s="32"/>
      <c r="P684" s="32"/>
      <c r="Q684" s="33"/>
      <c r="R684" s="10">
        <f>LEN(M684)</f>
        <v>6</v>
      </c>
      <c r="S684" s="10">
        <f>MOD(R684,2)*4+FLOOR(R684/2,1)*6</f>
        <v>18</v>
      </c>
      <c r="T684" s="12" t="str">
        <f>IF(T683&lt;I682,"有效","无效")</f>
        <v>有效</v>
      </c>
    </row>
    <row r="685" spans="1:20" ht="20" customHeight="1">
      <c r="A685" s="22"/>
      <c r="B685" s="6" t="str">
        <f>IF(H685&lt;=12,"有效","无效")</f>
        <v>有效</v>
      </c>
      <c r="C685" s="31" t="s">
        <v>1331</v>
      </c>
      <c r="D685" s="32"/>
      <c r="E685" s="32"/>
      <c r="F685" s="32"/>
      <c r="G685" s="33"/>
      <c r="H685" s="4">
        <f>LEN(C685)</f>
        <v>7</v>
      </c>
      <c r="I685" s="11">
        <f>MOD(H685,2)*4+FLOOR(H685/2,1)*6</f>
        <v>22</v>
      </c>
      <c r="J685" s="12">
        <f>I685+I686</f>
        <v>40</v>
      </c>
      <c r="K685" s="20"/>
      <c r="L685" s="6" t="str">
        <f>IF(R685&lt;=12,"有效","无效")</f>
        <v>有效</v>
      </c>
      <c r="M685" s="31" t="s">
        <v>1334</v>
      </c>
      <c r="N685" s="32"/>
      <c r="O685" s="32"/>
      <c r="P685" s="32"/>
      <c r="Q685" s="33"/>
      <c r="R685" s="10">
        <f>LEN(M685)</f>
        <v>5</v>
      </c>
      <c r="S685" s="10">
        <f>MOD(R685,2)*4+FLOOR(R685/2,1)*6</f>
        <v>16</v>
      </c>
      <c r="T685" s="12">
        <f>S685+S686</f>
        <v>38</v>
      </c>
    </row>
    <row r="686" spans="1:20" ht="20" customHeight="1">
      <c r="A686" s="22"/>
      <c r="B686" s="6" t="str">
        <f>IF(H686&lt;=12,"有效","无效")</f>
        <v>有效</v>
      </c>
      <c r="C686" s="31" t="s">
        <v>1332</v>
      </c>
      <c r="D686" s="32"/>
      <c r="E686" s="32"/>
      <c r="F686" s="32"/>
      <c r="G686" s="33"/>
      <c r="H686" s="4">
        <f>LEN(C686)</f>
        <v>6</v>
      </c>
      <c r="I686" s="11">
        <f>MOD(H686,2)*4+FLOOR(H686/2,1)*6</f>
        <v>18</v>
      </c>
      <c r="J686" s="12" t="str">
        <f>IF(J685&lt;I682,"有效","无效")</f>
        <v>有效</v>
      </c>
      <c r="K686" s="20"/>
      <c r="L686" s="6" t="str">
        <f>IF(R686&lt;=12,"有效","无效")</f>
        <v>有效</v>
      </c>
      <c r="M686" s="31" t="s">
        <v>1335</v>
      </c>
      <c r="N686" s="32"/>
      <c r="O686" s="32"/>
      <c r="P686" s="32"/>
      <c r="Q686" s="33"/>
      <c r="R686" s="10">
        <f>LEN(M686)</f>
        <v>7</v>
      </c>
      <c r="S686" s="10">
        <f>MOD(R686,2)*4+FLOOR(R686/2,1)*6</f>
        <v>22</v>
      </c>
      <c r="T686" s="12" t="str">
        <f>IF(T685&lt;I682,"有效","无效")</f>
        <v>有效</v>
      </c>
    </row>
    <row r="687" spans="1:20" ht="20" customHeight="1">
      <c r="A687" s="22">
        <v>138</v>
      </c>
      <c r="B687" s="23" t="s">
        <v>226</v>
      </c>
      <c r="C687" s="24" t="s">
        <v>227</v>
      </c>
      <c r="D687" s="14">
        <f>LEN($B687)</f>
        <v>3</v>
      </c>
      <c r="E687" s="14">
        <f>LEN(C687)+3</f>
        <v>5</v>
      </c>
      <c r="F687" s="14">
        <f>MOD(D687,2)*4+FLOOR(D687/2,1)*6</f>
        <v>10</v>
      </c>
      <c r="G687" s="14">
        <f>MOD(E687,2)*4+FLOOR(E687/2,1)*6</f>
        <v>16</v>
      </c>
      <c r="H687" s="14">
        <v>12</v>
      </c>
      <c r="I687" s="14">
        <f>108-H687-G687-F687</f>
        <v>70</v>
      </c>
    </row>
    <row r="688" spans="1:20" ht="20" customHeight="1">
      <c r="A688" s="22"/>
      <c r="B688" s="6" t="str">
        <f>IF(H688&lt;=12,"有效","无效")</f>
        <v>有效</v>
      </c>
      <c r="C688" s="31" t="s">
        <v>1336</v>
      </c>
      <c r="D688" s="32"/>
      <c r="E688" s="32"/>
      <c r="F688" s="32"/>
      <c r="G688" s="33"/>
      <c r="H688" s="4">
        <f>LEN(C688)</f>
        <v>6</v>
      </c>
      <c r="I688" s="11">
        <f>MOD(H688,2)*4+FLOOR(H688/2,1)*6</f>
        <v>18</v>
      </c>
      <c r="J688" s="12">
        <f>I688+I689</f>
        <v>34</v>
      </c>
      <c r="K688" s="20"/>
      <c r="L688" s="13" t="str">
        <f>IF(R688&lt;=12,"有效","无效")</f>
        <v>有效</v>
      </c>
      <c r="M688" s="35" t="s">
        <v>2308</v>
      </c>
      <c r="N688" s="35"/>
      <c r="O688" s="35"/>
      <c r="P688" s="35"/>
      <c r="Q688" s="36"/>
      <c r="R688" s="10">
        <f>LEN(M688)</f>
        <v>10</v>
      </c>
      <c r="S688" s="10">
        <f>MOD(R688,2)*4+FLOOR(R688/2,1)*6</f>
        <v>30</v>
      </c>
      <c r="T688" s="12">
        <f>S688+S689</f>
        <v>60</v>
      </c>
    </row>
    <row r="689" spans="1:20" ht="20" customHeight="1">
      <c r="A689" s="22"/>
      <c r="B689" s="6" t="str">
        <f>IF(H689&lt;=12,"有效","无效")</f>
        <v>有效</v>
      </c>
      <c r="C689" s="31" t="s">
        <v>1337</v>
      </c>
      <c r="D689" s="32"/>
      <c r="E689" s="32"/>
      <c r="F689" s="32"/>
      <c r="G689" s="33"/>
      <c r="H689" s="4">
        <f>LEN(C689)</f>
        <v>5</v>
      </c>
      <c r="I689" s="11">
        <f>MOD(H689,2)*4+FLOOR(H689/2,1)*6</f>
        <v>16</v>
      </c>
      <c r="J689" s="12" t="str">
        <f>IF(J688&lt;I687,"有效","无效")</f>
        <v>有效</v>
      </c>
      <c r="K689" s="20"/>
      <c r="L689" s="6" t="str">
        <f>IF(R689&lt;=12,"有效","无效")</f>
        <v>有效</v>
      </c>
      <c r="M689" s="34" t="s">
        <v>2309</v>
      </c>
      <c r="N689" s="35"/>
      <c r="O689" s="35"/>
      <c r="P689" s="35"/>
      <c r="Q689" s="36"/>
      <c r="R689" s="10">
        <f>LEN(M689)</f>
        <v>10</v>
      </c>
      <c r="S689" s="10">
        <f>MOD(R689,2)*4+FLOOR(R689/2,1)*6</f>
        <v>30</v>
      </c>
      <c r="T689" s="12" t="str">
        <f>IF(T688&lt;I687,"有效","无效")</f>
        <v>有效</v>
      </c>
    </row>
    <row r="690" spans="1:20" ht="20" customHeight="1">
      <c r="A690" s="22"/>
      <c r="B690" s="6" t="str">
        <f>IF(H690&lt;=12,"有效","无效")</f>
        <v>有效</v>
      </c>
      <c r="C690" s="31" t="s">
        <v>1338</v>
      </c>
      <c r="D690" s="32"/>
      <c r="E690" s="32"/>
      <c r="F690" s="32"/>
      <c r="G690" s="33"/>
      <c r="H690" s="4">
        <f>LEN(C690)</f>
        <v>7</v>
      </c>
      <c r="I690" s="11">
        <f>MOD(H690,2)*4+FLOOR(H690/2,1)*6</f>
        <v>22</v>
      </c>
      <c r="J690" s="12">
        <f>I690+I691</f>
        <v>46</v>
      </c>
      <c r="K690" s="20"/>
      <c r="L690" s="6" t="str">
        <f>IF(R690&lt;=12,"有效","无效")</f>
        <v>有效</v>
      </c>
      <c r="M690" s="34" t="s">
        <v>2310</v>
      </c>
      <c r="N690" s="35"/>
      <c r="O690" s="35"/>
      <c r="P690" s="35"/>
      <c r="Q690" s="36"/>
      <c r="R690" s="10">
        <f>LEN(M690)</f>
        <v>6</v>
      </c>
      <c r="S690" s="10">
        <f>MOD(R690,2)*4+FLOOR(R690/2,1)*6</f>
        <v>18</v>
      </c>
      <c r="T690" s="12">
        <f>S690+S691</f>
        <v>30</v>
      </c>
    </row>
    <row r="691" spans="1:20" ht="20" customHeight="1">
      <c r="A691" s="22"/>
      <c r="B691" s="6" t="str">
        <f>IF(H691&lt;=12,"有效","无效")</f>
        <v>有效</v>
      </c>
      <c r="C691" s="31" t="s">
        <v>1339</v>
      </c>
      <c r="D691" s="32"/>
      <c r="E691" s="32"/>
      <c r="F691" s="32"/>
      <c r="G691" s="33"/>
      <c r="H691" s="4">
        <f>LEN(C691)</f>
        <v>8</v>
      </c>
      <c r="I691" s="11">
        <f>MOD(H691,2)*4+FLOOR(H691/2,1)*6</f>
        <v>24</v>
      </c>
      <c r="J691" s="12" t="str">
        <f>IF(J690&lt;I687,"有效","无效")</f>
        <v>有效</v>
      </c>
      <c r="K691" s="20"/>
      <c r="L691" s="6" t="str">
        <f>IF(R691&lt;=12,"有效","无效")</f>
        <v>有效</v>
      </c>
      <c r="M691" s="34" t="s">
        <v>2100</v>
      </c>
      <c r="N691" s="35"/>
      <c r="O691" s="35"/>
      <c r="P691" s="35"/>
      <c r="Q691" s="36"/>
      <c r="R691" s="10">
        <f>LEN(M691)</f>
        <v>4</v>
      </c>
      <c r="S691" s="10">
        <f>MOD(R691,2)*4+FLOOR(R691/2,1)*6</f>
        <v>12</v>
      </c>
      <c r="T691" s="12" t="str">
        <f>IF(T690&lt;I687,"有效","无效")</f>
        <v>有效</v>
      </c>
    </row>
    <row r="692" spans="1:20" ht="20" customHeight="1">
      <c r="A692" s="22">
        <v>139</v>
      </c>
      <c r="B692" s="23" t="s">
        <v>228</v>
      </c>
      <c r="C692" s="24" t="s">
        <v>227</v>
      </c>
      <c r="D692" s="14">
        <f>LEN($B692)</f>
        <v>5</v>
      </c>
      <c r="E692" s="14">
        <f>LEN(C692)+3</f>
        <v>5</v>
      </c>
      <c r="F692" s="14">
        <f>MOD(D692,2)*4+FLOOR(D692/2,1)*6</f>
        <v>16</v>
      </c>
      <c r="G692" s="14">
        <f>MOD(E692,2)*4+FLOOR(E692/2,1)*6</f>
        <v>16</v>
      </c>
      <c r="H692" s="14">
        <v>12</v>
      </c>
      <c r="I692" s="14">
        <f>108-H692-G692-F692</f>
        <v>64</v>
      </c>
    </row>
    <row r="693" spans="1:20" ht="20" customHeight="1">
      <c r="A693" s="22"/>
      <c r="B693" s="6" t="str">
        <f>IF(H693&lt;=12,"有效","无效")</f>
        <v>有效</v>
      </c>
      <c r="C693" s="34" t="s">
        <v>1340</v>
      </c>
      <c r="D693" s="35"/>
      <c r="E693" s="35"/>
      <c r="F693" s="35"/>
      <c r="G693" s="36"/>
      <c r="H693" s="4">
        <f>LEN(C693)</f>
        <v>3</v>
      </c>
      <c r="I693" s="11">
        <f>MOD(H693,2)*4+FLOOR(H693/2,1)*6</f>
        <v>10</v>
      </c>
      <c r="J693" s="12">
        <f>I693+I694</f>
        <v>34</v>
      </c>
      <c r="K693" s="20"/>
      <c r="L693" s="13" t="str">
        <f>IF(R693&lt;=12,"有效","无效")</f>
        <v>有效</v>
      </c>
      <c r="M693" s="32" t="s">
        <v>1344</v>
      </c>
      <c r="N693" s="32"/>
      <c r="O693" s="32"/>
      <c r="P693" s="32"/>
      <c r="Q693" s="33"/>
      <c r="R693" s="10">
        <f>LEN(M693)</f>
        <v>4</v>
      </c>
      <c r="S693" s="10">
        <f>MOD(R693,2)*4+FLOOR(R693/2,1)*6</f>
        <v>12</v>
      </c>
      <c r="T693" s="12">
        <f>S693+S694</f>
        <v>34</v>
      </c>
    </row>
    <row r="694" spans="1:20" ht="20" customHeight="1">
      <c r="A694" s="22"/>
      <c r="B694" s="6" t="str">
        <f>IF(H694&lt;=12,"有效","无效")</f>
        <v>有效</v>
      </c>
      <c r="C694" s="34" t="s">
        <v>1341</v>
      </c>
      <c r="D694" s="35"/>
      <c r="E694" s="35"/>
      <c r="F694" s="35"/>
      <c r="G694" s="36"/>
      <c r="H694" s="4">
        <f>LEN(C694)</f>
        <v>8</v>
      </c>
      <c r="I694" s="11">
        <f>MOD(H694,2)*4+FLOOR(H694/2,1)*6</f>
        <v>24</v>
      </c>
      <c r="J694" s="12" t="str">
        <f>IF(J693&lt;I692,"有效","无效")</f>
        <v>有效</v>
      </c>
      <c r="K694" s="20"/>
      <c r="L694" s="6" t="str">
        <f>IF(R694&lt;=12,"有效","无效")</f>
        <v>有效</v>
      </c>
      <c r="M694" s="31" t="s">
        <v>1345</v>
      </c>
      <c r="N694" s="32"/>
      <c r="O694" s="32"/>
      <c r="P694" s="32"/>
      <c r="Q694" s="33"/>
      <c r="R694" s="10">
        <f>LEN(M694)</f>
        <v>7</v>
      </c>
      <c r="S694" s="10">
        <f>MOD(R694,2)*4+FLOOR(R694/2,1)*6</f>
        <v>22</v>
      </c>
      <c r="T694" s="12" t="str">
        <f>IF(T693&lt;I692,"有效","无效")</f>
        <v>有效</v>
      </c>
    </row>
    <row r="695" spans="1:20" ht="20" customHeight="1">
      <c r="A695" s="22"/>
      <c r="B695" s="6" t="str">
        <f>IF(H695&lt;=12,"有效","无效")</f>
        <v>有效</v>
      </c>
      <c r="C695" s="34" t="s">
        <v>1342</v>
      </c>
      <c r="D695" s="35"/>
      <c r="E695" s="35"/>
      <c r="F695" s="35"/>
      <c r="G695" s="36"/>
      <c r="H695" s="4">
        <f>LEN(C695)</f>
        <v>10</v>
      </c>
      <c r="I695" s="11">
        <f>MOD(H695,2)*4+FLOOR(H695/2,1)*6</f>
        <v>30</v>
      </c>
      <c r="J695" s="12">
        <f>I695+I696</f>
        <v>60</v>
      </c>
      <c r="K695" s="20"/>
      <c r="L695" s="6" t="str">
        <f>IF(R695&lt;=12,"有效","无效")</f>
        <v>有效</v>
      </c>
      <c r="M695" s="31" t="s">
        <v>1346</v>
      </c>
      <c r="N695" s="32"/>
      <c r="O695" s="32"/>
      <c r="P695" s="32"/>
      <c r="Q695" s="33"/>
      <c r="R695" s="10">
        <f>LEN(M695)</f>
        <v>7</v>
      </c>
      <c r="S695" s="10">
        <f>MOD(R695,2)*4+FLOOR(R695/2,1)*6</f>
        <v>22</v>
      </c>
      <c r="T695" s="12">
        <f>S695+S696</f>
        <v>46</v>
      </c>
    </row>
    <row r="696" spans="1:20" ht="20" customHeight="1">
      <c r="A696" s="22"/>
      <c r="B696" s="6" t="str">
        <f>IF(H696&lt;=12,"有效","无效")</f>
        <v>有效</v>
      </c>
      <c r="C696" s="34" t="s">
        <v>1343</v>
      </c>
      <c r="D696" s="35"/>
      <c r="E696" s="35"/>
      <c r="F696" s="35"/>
      <c r="G696" s="36"/>
      <c r="H696" s="4">
        <f>LEN(C696)</f>
        <v>10</v>
      </c>
      <c r="I696" s="11">
        <f>MOD(H696,2)*4+FLOOR(H696/2,1)*6</f>
        <v>30</v>
      </c>
      <c r="J696" s="12" t="str">
        <f>IF(J695&lt;I692,"有效","无效")</f>
        <v>有效</v>
      </c>
      <c r="K696" s="20"/>
      <c r="L696" s="6" t="str">
        <f>IF(R696&lt;=12,"有效","无效")</f>
        <v>有效</v>
      </c>
      <c r="M696" s="31" t="s">
        <v>1347</v>
      </c>
      <c r="N696" s="32"/>
      <c r="O696" s="32"/>
      <c r="P696" s="32"/>
      <c r="Q696" s="33"/>
      <c r="R696" s="10">
        <f>LEN(M696)</f>
        <v>8</v>
      </c>
      <c r="S696" s="10">
        <f>MOD(R696,2)*4+FLOOR(R696/2,1)*6</f>
        <v>24</v>
      </c>
      <c r="T696" s="12" t="str">
        <f>IF(T695&lt;I692,"有效","无效")</f>
        <v>有效</v>
      </c>
    </row>
    <row r="697" spans="1:20" ht="20" customHeight="1">
      <c r="A697" s="22">
        <v>140</v>
      </c>
      <c r="B697" s="23" t="s">
        <v>229</v>
      </c>
      <c r="C697" s="24" t="s">
        <v>16</v>
      </c>
      <c r="D697" s="14">
        <f>LEN($B697)</f>
        <v>3</v>
      </c>
      <c r="E697" s="14">
        <f>LEN(C697)+3</f>
        <v>5</v>
      </c>
      <c r="F697" s="14">
        <f>MOD(D697,2)*4+FLOOR(D697/2,1)*6</f>
        <v>10</v>
      </c>
      <c r="G697" s="14">
        <f>MOD(E697,2)*4+FLOOR(E697/2,1)*6</f>
        <v>16</v>
      </c>
      <c r="H697" s="14">
        <v>12</v>
      </c>
      <c r="I697" s="14">
        <f>108-H697-G697-F697</f>
        <v>70</v>
      </c>
    </row>
    <row r="698" spans="1:20" ht="20" customHeight="1">
      <c r="A698" s="22"/>
      <c r="B698" s="6" t="str">
        <f>IF(H698&lt;=12,"有效","无效")</f>
        <v>有效</v>
      </c>
      <c r="C698" s="34" t="s">
        <v>1348</v>
      </c>
      <c r="D698" s="35"/>
      <c r="E698" s="35"/>
      <c r="F698" s="35"/>
      <c r="G698" s="36"/>
      <c r="H698" s="4">
        <f>LEN(C698)</f>
        <v>7</v>
      </c>
      <c r="I698" s="11">
        <f>MOD(H698,2)*4+FLOOR(H698/2,1)*6</f>
        <v>22</v>
      </c>
      <c r="J698" s="12">
        <f>I698+I699</f>
        <v>52</v>
      </c>
      <c r="K698" s="20"/>
      <c r="L698" s="13" t="str">
        <f>IF(R698&lt;=12,"有效","无效")</f>
        <v>有效</v>
      </c>
      <c r="M698" s="35" t="s">
        <v>1361</v>
      </c>
      <c r="N698" s="35"/>
      <c r="O698" s="35"/>
      <c r="P698" s="35"/>
      <c r="Q698" s="36"/>
      <c r="R698" s="10">
        <f>LEN(M698)</f>
        <v>5</v>
      </c>
      <c r="S698" s="10">
        <f>MOD(R698,2)*4+FLOOR(R698/2,1)*6</f>
        <v>16</v>
      </c>
      <c r="T698" s="12">
        <f>S698+S699</f>
        <v>28</v>
      </c>
    </row>
    <row r="699" spans="1:20" ht="20" customHeight="1">
      <c r="A699" s="22"/>
      <c r="B699" s="6" t="str">
        <f>IF(H699&lt;=12,"有效","无效")</f>
        <v>有效</v>
      </c>
      <c r="C699" s="34" t="s">
        <v>1351</v>
      </c>
      <c r="D699" s="35"/>
      <c r="E699" s="35"/>
      <c r="F699" s="35"/>
      <c r="G699" s="36"/>
      <c r="H699" s="4">
        <f>LEN(C699)</f>
        <v>10</v>
      </c>
      <c r="I699" s="11">
        <f>MOD(H699,2)*4+FLOOR(H699/2,1)*6</f>
        <v>30</v>
      </c>
      <c r="J699" s="12" t="str">
        <f>IF(J698&lt;I697,"有效","无效")</f>
        <v>有效</v>
      </c>
      <c r="K699" s="20"/>
      <c r="L699" s="6" t="str">
        <f>IF(R699&lt;=12,"有效","无效")</f>
        <v>有效</v>
      </c>
      <c r="M699" s="34" t="s">
        <v>2100</v>
      </c>
      <c r="N699" s="35"/>
      <c r="O699" s="35"/>
      <c r="P699" s="35"/>
      <c r="Q699" s="36"/>
      <c r="R699" s="10">
        <f>LEN(M699)</f>
        <v>4</v>
      </c>
      <c r="S699" s="10">
        <f>MOD(R699,2)*4+FLOOR(R699/2,1)*6</f>
        <v>12</v>
      </c>
      <c r="T699" s="12" t="str">
        <f>IF(T698&lt;I697,"有效","无效")</f>
        <v>有效</v>
      </c>
    </row>
    <row r="700" spans="1:20" ht="20" customHeight="1">
      <c r="A700" s="22"/>
      <c r="B700" s="6" t="str">
        <f>IF(H700&lt;=12,"有效","无效")</f>
        <v>有效</v>
      </c>
      <c r="C700" s="34" t="s">
        <v>1350</v>
      </c>
      <c r="D700" s="35"/>
      <c r="E700" s="35"/>
      <c r="F700" s="35"/>
      <c r="G700" s="36"/>
      <c r="H700" s="4">
        <f>LEN(C700)</f>
        <v>8</v>
      </c>
      <c r="I700" s="11">
        <f>MOD(H700,2)*4+FLOOR(H700/2,1)*6</f>
        <v>24</v>
      </c>
      <c r="J700" s="12">
        <f>I700+I701</f>
        <v>36</v>
      </c>
      <c r="K700" s="20"/>
      <c r="L700" s="6" t="str">
        <f>IF(R700&lt;=12,"有效","无效")</f>
        <v>有效</v>
      </c>
      <c r="M700" s="34" t="s">
        <v>1352</v>
      </c>
      <c r="N700" s="35"/>
      <c r="O700" s="35"/>
      <c r="P700" s="35"/>
      <c r="Q700" s="36"/>
      <c r="R700" s="10">
        <f>LEN(M700)</f>
        <v>10</v>
      </c>
      <c r="S700" s="10">
        <f>MOD(R700,2)*4+FLOOR(R700/2,1)*6</f>
        <v>30</v>
      </c>
      <c r="T700" s="12">
        <f>S700+S701</f>
        <v>60</v>
      </c>
    </row>
    <row r="701" spans="1:20" ht="20" customHeight="1">
      <c r="A701" s="22"/>
      <c r="B701" s="6" t="str">
        <f>IF(H701&lt;=12,"有效","无效")</f>
        <v>有效</v>
      </c>
      <c r="C701" s="34" t="s">
        <v>1349</v>
      </c>
      <c r="D701" s="35"/>
      <c r="E701" s="35"/>
      <c r="F701" s="35"/>
      <c r="G701" s="36"/>
      <c r="H701" s="4">
        <f>LEN(C701)</f>
        <v>4</v>
      </c>
      <c r="I701" s="11">
        <f>MOD(H701,2)*4+FLOOR(H701/2,1)*6</f>
        <v>12</v>
      </c>
      <c r="J701" s="12" t="str">
        <f>IF(J700&lt;I697,"有效","无效")</f>
        <v>有效</v>
      </c>
      <c r="K701" s="20"/>
      <c r="L701" s="6" t="str">
        <f>IF(R701&lt;=12,"有效","无效")</f>
        <v>有效</v>
      </c>
      <c r="M701" s="34" t="s">
        <v>2311</v>
      </c>
      <c r="N701" s="35"/>
      <c r="O701" s="35"/>
      <c r="P701" s="35"/>
      <c r="Q701" s="36"/>
      <c r="R701" s="10">
        <f>LEN(M701)</f>
        <v>10</v>
      </c>
      <c r="S701" s="10">
        <f>MOD(R701,2)*4+FLOOR(R701/2,1)*6</f>
        <v>30</v>
      </c>
      <c r="T701" s="12" t="str">
        <f>IF(T700&lt;I697,"有效","无效")</f>
        <v>有效</v>
      </c>
    </row>
    <row r="702" spans="1:20" ht="20" customHeight="1">
      <c r="A702" s="22">
        <v>141</v>
      </c>
      <c r="B702" s="23" t="s">
        <v>230</v>
      </c>
      <c r="C702" s="24" t="s">
        <v>16</v>
      </c>
      <c r="D702" s="14">
        <f>LEN($B702)</f>
        <v>3</v>
      </c>
      <c r="E702" s="14">
        <f>LEN(C702)+3</f>
        <v>5</v>
      </c>
      <c r="F702" s="14">
        <f>MOD(D702,2)*4+FLOOR(D702/2,1)*6</f>
        <v>10</v>
      </c>
      <c r="G702" s="14">
        <f>MOD(E702,2)*4+FLOOR(E702/2,1)*6</f>
        <v>16</v>
      </c>
      <c r="H702" s="14">
        <v>12</v>
      </c>
      <c r="I702" s="14">
        <f>108-H702-G702-F702</f>
        <v>70</v>
      </c>
    </row>
    <row r="703" spans="1:20" ht="20" customHeight="1">
      <c r="A703" s="22"/>
      <c r="B703" s="6" t="str">
        <f>IF(H703&lt;=12,"有效","无效")</f>
        <v>有效</v>
      </c>
      <c r="C703" s="31" t="s">
        <v>1353</v>
      </c>
      <c r="D703" s="32"/>
      <c r="E703" s="32"/>
      <c r="F703" s="32"/>
      <c r="G703" s="33"/>
      <c r="H703" s="4">
        <f>LEN(C703)</f>
        <v>7</v>
      </c>
      <c r="I703" s="11">
        <f>MOD(H703,2)*4+FLOOR(H703/2,1)*6</f>
        <v>22</v>
      </c>
      <c r="J703" s="12">
        <f>I703+I704</f>
        <v>50</v>
      </c>
      <c r="K703" s="20"/>
      <c r="L703" s="13" t="str">
        <f>IF(R703&lt;=12,"有效","无效")</f>
        <v>有效</v>
      </c>
      <c r="M703" s="35" t="s">
        <v>1357</v>
      </c>
      <c r="N703" s="35"/>
      <c r="O703" s="35"/>
      <c r="P703" s="35"/>
      <c r="Q703" s="36"/>
      <c r="R703" s="10">
        <f>LEN(M703)</f>
        <v>11</v>
      </c>
      <c r="S703" s="10">
        <f>MOD(R703,2)*4+FLOOR(R703/2,1)*6</f>
        <v>34</v>
      </c>
      <c r="T703" s="12">
        <f>S703+S704</f>
        <v>58</v>
      </c>
    </row>
    <row r="704" spans="1:20" ht="20" customHeight="1">
      <c r="A704" s="22"/>
      <c r="B704" s="6" t="str">
        <f>IF(H704&lt;=12,"有效","无效")</f>
        <v>有效</v>
      </c>
      <c r="C704" s="31" t="s">
        <v>1354</v>
      </c>
      <c r="D704" s="32"/>
      <c r="E704" s="32"/>
      <c r="F704" s="32"/>
      <c r="G704" s="33"/>
      <c r="H704" s="4">
        <f>LEN(C704)</f>
        <v>9</v>
      </c>
      <c r="I704" s="11">
        <f>MOD(H704,2)*4+FLOOR(H704/2,1)*6</f>
        <v>28</v>
      </c>
      <c r="J704" s="12" t="str">
        <f>IF(J703&lt;I702,"有效","无效")</f>
        <v>有效</v>
      </c>
      <c r="K704" s="20"/>
      <c r="L704" s="6" t="str">
        <f>IF(R704&lt;=12,"有效","无效")</f>
        <v>有效</v>
      </c>
      <c r="M704" s="34" t="s">
        <v>1358</v>
      </c>
      <c r="N704" s="35"/>
      <c r="O704" s="35"/>
      <c r="P704" s="35"/>
      <c r="Q704" s="36"/>
      <c r="R704" s="10">
        <f>LEN(M704)</f>
        <v>8</v>
      </c>
      <c r="S704" s="10">
        <f>MOD(R704,2)*4+FLOOR(R704/2,1)*6</f>
        <v>24</v>
      </c>
      <c r="T704" s="12" t="str">
        <f>IF(T703&lt;I702,"有效","无效")</f>
        <v>有效</v>
      </c>
    </row>
    <row r="705" spans="1:20" ht="20" customHeight="1">
      <c r="A705" s="22"/>
      <c r="B705" s="6" t="str">
        <f>IF(H705&lt;=12,"有效","无效")</f>
        <v>有效</v>
      </c>
      <c r="C705" s="31" t="s">
        <v>1355</v>
      </c>
      <c r="D705" s="32"/>
      <c r="E705" s="32"/>
      <c r="F705" s="32"/>
      <c r="G705" s="33"/>
      <c r="H705" s="4">
        <f>LEN(C705)</f>
        <v>7</v>
      </c>
      <c r="I705" s="11">
        <f>MOD(H705,2)*4+FLOOR(H705/2,1)*6</f>
        <v>22</v>
      </c>
      <c r="J705" s="12">
        <f>I705+I706</f>
        <v>38</v>
      </c>
      <c r="K705" s="20"/>
      <c r="L705" s="6" t="str">
        <f>IF(R705&lt;=12,"有效","无效")</f>
        <v>有效</v>
      </c>
      <c r="M705" s="34" t="s">
        <v>1360</v>
      </c>
      <c r="N705" s="35"/>
      <c r="O705" s="35"/>
      <c r="P705" s="35"/>
      <c r="Q705" s="36"/>
      <c r="R705" s="10">
        <f>LEN(M705)</f>
        <v>6</v>
      </c>
      <c r="S705" s="10">
        <f>MOD(R705,2)*4+FLOOR(R705/2,1)*6</f>
        <v>18</v>
      </c>
      <c r="T705" s="12">
        <f>S705+S706</f>
        <v>36</v>
      </c>
    </row>
    <row r="706" spans="1:20" ht="20" customHeight="1">
      <c r="A706" s="22"/>
      <c r="B706" s="6" t="str">
        <f>IF(H706&lt;=12,"有效","无效")</f>
        <v>有效</v>
      </c>
      <c r="C706" s="31" t="s">
        <v>1356</v>
      </c>
      <c r="D706" s="32"/>
      <c r="E706" s="32"/>
      <c r="F706" s="32"/>
      <c r="G706" s="33"/>
      <c r="H706" s="4">
        <f>LEN(C706)</f>
        <v>5</v>
      </c>
      <c r="I706" s="11">
        <f>MOD(H706,2)*4+FLOOR(H706/2,1)*6</f>
        <v>16</v>
      </c>
      <c r="J706" s="12" t="str">
        <f>IF(J705&lt;I702,"有效","无效")</f>
        <v>有效</v>
      </c>
      <c r="K706" s="20"/>
      <c r="L706" s="6" t="str">
        <f>IF(R706&lt;=12,"有效","无效")</f>
        <v>有效</v>
      </c>
      <c r="M706" s="34" t="s">
        <v>1359</v>
      </c>
      <c r="N706" s="35"/>
      <c r="O706" s="35"/>
      <c r="P706" s="35"/>
      <c r="Q706" s="36"/>
      <c r="R706" s="10">
        <f>LEN(M706)</f>
        <v>6</v>
      </c>
      <c r="S706" s="10">
        <f>MOD(R706,2)*4+FLOOR(R706/2,1)*6</f>
        <v>18</v>
      </c>
      <c r="T706" s="12" t="str">
        <f>IF(T705&lt;I702,"有效","无效")</f>
        <v>有效</v>
      </c>
    </row>
    <row r="707" spans="1:20" ht="20" customHeight="1">
      <c r="A707" s="22">
        <v>142</v>
      </c>
      <c r="B707" s="23" t="s">
        <v>231</v>
      </c>
      <c r="C707" s="24" t="s">
        <v>232</v>
      </c>
      <c r="D707" s="14">
        <f>LEN($B707)</f>
        <v>4</v>
      </c>
      <c r="E707" s="14">
        <f>LEN(C707)+3</f>
        <v>5</v>
      </c>
      <c r="F707" s="14">
        <f>MOD(D707,2)*4+FLOOR(D707/2,1)*6</f>
        <v>12</v>
      </c>
      <c r="G707" s="14">
        <f>MOD(E707,2)*4+FLOOR(E707/2,1)*6</f>
        <v>16</v>
      </c>
      <c r="H707" s="14">
        <v>12</v>
      </c>
      <c r="I707" s="14">
        <f>108-H707-G707-F707</f>
        <v>68</v>
      </c>
    </row>
    <row r="708" spans="1:20" ht="20" customHeight="1">
      <c r="A708" s="22"/>
      <c r="B708" s="6" t="str">
        <f>IF(H708&lt;=12,"有效","无效")</f>
        <v>有效</v>
      </c>
      <c r="C708" s="34" t="s">
        <v>1361</v>
      </c>
      <c r="D708" s="35"/>
      <c r="E708" s="35"/>
      <c r="F708" s="35"/>
      <c r="G708" s="36"/>
      <c r="H708" s="4">
        <f>LEN(C708)</f>
        <v>5</v>
      </c>
      <c r="I708" s="11">
        <f>MOD(H708,2)*4+FLOOR(H708/2,1)*6</f>
        <v>16</v>
      </c>
      <c r="J708" s="12">
        <f>I708+I709</f>
        <v>34</v>
      </c>
      <c r="K708" s="20"/>
      <c r="L708" s="13" t="str">
        <f>IF(R708&lt;=12,"有效","无效")</f>
        <v>有效</v>
      </c>
      <c r="M708" s="32" t="s">
        <v>1364</v>
      </c>
      <c r="N708" s="32"/>
      <c r="O708" s="32"/>
      <c r="P708" s="32"/>
      <c r="Q708" s="33"/>
      <c r="R708" s="10">
        <f>LEN(M708)</f>
        <v>6</v>
      </c>
      <c r="S708" s="10">
        <f>MOD(R708,2)*4+FLOOR(R708/2,1)*6</f>
        <v>18</v>
      </c>
      <c r="T708" s="12">
        <f>S708+S709</f>
        <v>36</v>
      </c>
    </row>
    <row r="709" spans="1:20" ht="20" customHeight="1">
      <c r="A709" s="22"/>
      <c r="B709" s="6" t="str">
        <f>IF(H709&lt;=12,"有效","无效")</f>
        <v>有效</v>
      </c>
      <c r="C709" s="34" t="s">
        <v>1366</v>
      </c>
      <c r="D709" s="35"/>
      <c r="E709" s="35"/>
      <c r="F709" s="35"/>
      <c r="G709" s="36"/>
      <c r="H709" s="4">
        <f>LEN(C709)</f>
        <v>6</v>
      </c>
      <c r="I709" s="11">
        <f>MOD(H709,2)*4+FLOOR(H709/2,1)*6</f>
        <v>18</v>
      </c>
      <c r="J709" s="12" t="str">
        <f>IF(J708&lt;I707,"有效","无效")</f>
        <v>有效</v>
      </c>
      <c r="K709" s="20"/>
      <c r="L709" s="6" t="str">
        <f>IF(R709&lt;=12,"有效","无效")</f>
        <v>有效</v>
      </c>
      <c r="M709" s="31" t="s">
        <v>1365</v>
      </c>
      <c r="N709" s="32"/>
      <c r="O709" s="32"/>
      <c r="P709" s="32"/>
      <c r="Q709" s="33"/>
      <c r="R709" s="10">
        <f>LEN(M709)</f>
        <v>6</v>
      </c>
      <c r="S709" s="10">
        <f>MOD(R709,2)*4+FLOOR(R709/2,1)*6</f>
        <v>18</v>
      </c>
      <c r="T709" s="12" t="str">
        <f>IF(T708&lt;I707,"有效","无效")</f>
        <v>有效</v>
      </c>
    </row>
    <row r="710" spans="1:20" ht="20" customHeight="1">
      <c r="A710" s="22"/>
      <c r="B710" s="6" t="str">
        <f>IF(H710&lt;=12,"有效","无效")</f>
        <v>有效</v>
      </c>
      <c r="C710" s="34" t="s">
        <v>1362</v>
      </c>
      <c r="D710" s="35"/>
      <c r="E710" s="35"/>
      <c r="F710" s="35"/>
      <c r="G710" s="36"/>
      <c r="H710" s="4">
        <f>LEN(C710)</f>
        <v>7</v>
      </c>
      <c r="I710" s="11">
        <f>MOD(H710,2)*4+FLOOR(H710/2,1)*6</f>
        <v>22</v>
      </c>
      <c r="J710" s="12">
        <f>I710+I711</f>
        <v>40</v>
      </c>
      <c r="K710" s="20"/>
      <c r="L710" s="6" t="str">
        <f>IF(R710&lt;=12,"有效","无效")</f>
        <v>有效</v>
      </c>
      <c r="M710" s="31" t="s">
        <v>1368</v>
      </c>
      <c r="N710" s="32"/>
      <c r="O710" s="32"/>
      <c r="P710" s="32"/>
      <c r="Q710" s="33"/>
      <c r="R710" s="10">
        <f>LEN(M710)</f>
        <v>9</v>
      </c>
      <c r="S710" s="10">
        <f>MOD(R710,2)*4+FLOOR(R710/2,1)*6</f>
        <v>28</v>
      </c>
      <c r="T710" s="12">
        <f>S710+S711</f>
        <v>56</v>
      </c>
    </row>
    <row r="711" spans="1:20" ht="20" customHeight="1">
      <c r="A711" s="22"/>
      <c r="B711" s="6" t="str">
        <f>IF(H711&lt;=12,"有效","无效")</f>
        <v>有效</v>
      </c>
      <c r="C711" s="34" t="s">
        <v>1363</v>
      </c>
      <c r="D711" s="35"/>
      <c r="E711" s="35"/>
      <c r="F711" s="35"/>
      <c r="G711" s="36"/>
      <c r="H711" s="4">
        <f>LEN(C711)</f>
        <v>6</v>
      </c>
      <c r="I711" s="11">
        <f>MOD(H711,2)*4+FLOOR(H711/2,1)*6</f>
        <v>18</v>
      </c>
      <c r="J711" s="12" t="str">
        <f>IF(J710&lt;I707,"有效","无效")</f>
        <v>有效</v>
      </c>
      <c r="K711" s="20"/>
      <c r="L711" s="6" t="str">
        <f>IF(R711&lt;=12,"有效","无效")</f>
        <v>有效</v>
      </c>
      <c r="M711" s="31" t="s">
        <v>1367</v>
      </c>
      <c r="N711" s="32"/>
      <c r="O711" s="32"/>
      <c r="P711" s="32"/>
      <c r="Q711" s="33"/>
      <c r="R711" s="10">
        <f>LEN(M711)</f>
        <v>9</v>
      </c>
      <c r="S711" s="10">
        <f>MOD(R711,2)*4+FLOOR(R711/2,1)*6</f>
        <v>28</v>
      </c>
      <c r="T711" s="12" t="str">
        <f>IF(T710&lt;I707,"有效","无效")</f>
        <v>有效</v>
      </c>
    </row>
    <row r="712" spans="1:20" ht="20" customHeight="1">
      <c r="A712" s="22">
        <v>143</v>
      </c>
      <c r="B712" s="23" t="s">
        <v>233</v>
      </c>
      <c r="C712" s="24" t="s">
        <v>234</v>
      </c>
      <c r="D712" s="14">
        <f>LEN($B712)</f>
        <v>3</v>
      </c>
      <c r="E712" s="14">
        <f>LEN(C712)+3</f>
        <v>5</v>
      </c>
      <c r="F712" s="14">
        <f>MOD(D712,2)*4+FLOOR(D712/2,1)*6</f>
        <v>10</v>
      </c>
      <c r="G712" s="14">
        <f>MOD(E712,2)*4+FLOOR(E712/2,1)*6</f>
        <v>16</v>
      </c>
      <c r="H712" s="14">
        <v>12</v>
      </c>
      <c r="I712" s="14">
        <f>108-H712-G712-F712</f>
        <v>70</v>
      </c>
      <c r="J712" s="30"/>
    </row>
    <row r="713" spans="1:20" ht="20" customHeight="1">
      <c r="A713" s="22"/>
      <c r="B713" s="6" t="str">
        <f>IF(H713&lt;=12,"有效","无效")</f>
        <v>有效</v>
      </c>
      <c r="C713" s="34" t="s">
        <v>2161</v>
      </c>
      <c r="D713" s="35"/>
      <c r="E713" s="35"/>
      <c r="F713" s="35"/>
      <c r="G713" s="36"/>
      <c r="H713" s="4">
        <f>LEN(C713)</f>
        <v>3</v>
      </c>
      <c r="I713" s="11">
        <f>MOD(H713,2)*4+FLOOR(H713/2,1)*6</f>
        <v>10</v>
      </c>
      <c r="J713" s="12">
        <f>I713+I714</f>
        <v>28</v>
      </c>
      <c r="K713" s="20"/>
      <c r="L713" s="13" t="str">
        <f>IF(R713&lt;=12,"有效","无效")</f>
        <v>有效</v>
      </c>
      <c r="M713" s="32" t="s">
        <v>1370</v>
      </c>
      <c r="N713" s="32"/>
      <c r="O713" s="32"/>
      <c r="P713" s="32"/>
      <c r="Q713" s="33"/>
      <c r="R713" s="10">
        <f>LEN(M713)</f>
        <v>6</v>
      </c>
      <c r="S713" s="10">
        <f>MOD(R713,2)*4+FLOOR(R713/2,1)*6</f>
        <v>18</v>
      </c>
      <c r="T713" s="12">
        <f>S713+S714</f>
        <v>42</v>
      </c>
    </row>
    <row r="714" spans="1:20" ht="20" customHeight="1">
      <c r="A714" s="22"/>
      <c r="B714" s="6" t="str">
        <f>IF(H714&lt;=12,"有效","无效")</f>
        <v>有效</v>
      </c>
      <c r="C714" s="34" t="s">
        <v>2162</v>
      </c>
      <c r="D714" s="35"/>
      <c r="E714" s="35"/>
      <c r="F714" s="35"/>
      <c r="G714" s="36"/>
      <c r="H714" s="4">
        <f>LEN(C714)</f>
        <v>6</v>
      </c>
      <c r="I714" s="11">
        <f>MOD(H714,2)*4+FLOOR(H714/2,1)*6</f>
        <v>18</v>
      </c>
      <c r="J714" s="12" t="str">
        <f>IF(J713&lt;I712,"有效","无效")</f>
        <v>有效</v>
      </c>
      <c r="K714" s="20"/>
      <c r="L714" s="6" t="str">
        <f>IF(R714&lt;=12,"有效","无效")</f>
        <v>有效</v>
      </c>
      <c r="M714" s="31" t="s">
        <v>1371</v>
      </c>
      <c r="N714" s="32"/>
      <c r="O714" s="32"/>
      <c r="P714" s="32"/>
      <c r="Q714" s="33"/>
      <c r="R714" s="10">
        <f>LEN(M714)</f>
        <v>8</v>
      </c>
      <c r="S714" s="10">
        <f>MOD(R714,2)*4+FLOOR(R714/2,1)*6</f>
        <v>24</v>
      </c>
      <c r="T714" s="12" t="str">
        <f>IF(T713&lt;I712,"有效","无效")</f>
        <v>有效</v>
      </c>
    </row>
    <row r="715" spans="1:20" ht="20" customHeight="1">
      <c r="A715" s="22"/>
      <c r="B715" s="6" t="str">
        <f>IF(H715&lt;=12,"有效","无效")</f>
        <v>有效</v>
      </c>
      <c r="C715" s="34" t="s">
        <v>2160</v>
      </c>
      <c r="D715" s="35"/>
      <c r="E715" s="35"/>
      <c r="F715" s="35"/>
      <c r="G715" s="36"/>
      <c r="H715" s="4">
        <f>LEN(C715)</f>
        <v>12</v>
      </c>
      <c r="I715" s="11">
        <f>MOD(H715,2)*4+FLOOR(H715/2,1)*6</f>
        <v>36</v>
      </c>
      <c r="J715" s="12">
        <f>I715+I716</f>
        <v>66</v>
      </c>
      <c r="K715" s="20"/>
      <c r="L715" s="6" t="str">
        <f>IF(R715&lt;=12,"有效","无效")</f>
        <v>有效</v>
      </c>
      <c r="M715" s="31" t="s">
        <v>1372</v>
      </c>
      <c r="N715" s="32"/>
      <c r="O715" s="32"/>
      <c r="P715" s="32"/>
      <c r="Q715" s="33"/>
      <c r="R715" s="10">
        <f>LEN(M715)</f>
        <v>11</v>
      </c>
      <c r="S715" s="10">
        <f>MOD(R715,2)*4+FLOOR(R715/2,1)*6</f>
        <v>34</v>
      </c>
      <c r="T715" s="12">
        <f>S715+S716</f>
        <v>52</v>
      </c>
    </row>
    <row r="716" spans="1:20" ht="20" customHeight="1">
      <c r="A716" s="22"/>
      <c r="B716" s="6" t="str">
        <f>IF(H716&lt;=12,"有效","无效")</f>
        <v>有效</v>
      </c>
      <c r="C716" s="34" t="s">
        <v>1369</v>
      </c>
      <c r="D716" s="35"/>
      <c r="E716" s="35"/>
      <c r="F716" s="35"/>
      <c r="G716" s="36"/>
      <c r="H716" s="4">
        <f>LEN(C716)</f>
        <v>10</v>
      </c>
      <c r="I716" s="11">
        <f>MOD(H716,2)*4+FLOOR(H716/2,1)*6</f>
        <v>30</v>
      </c>
      <c r="J716" s="12" t="str">
        <f>IF(J715&lt;I712,"有效","无效")</f>
        <v>有效</v>
      </c>
      <c r="K716" s="20"/>
      <c r="L716" s="6" t="str">
        <f>IF(R716&lt;=12,"有效","无效")</f>
        <v>有效</v>
      </c>
      <c r="M716" s="31" t="s">
        <v>1373</v>
      </c>
      <c r="N716" s="32"/>
      <c r="O716" s="32"/>
      <c r="P716" s="32"/>
      <c r="Q716" s="33"/>
      <c r="R716" s="10">
        <f>LEN(M716)</f>
        <v>6</v>
      </c>
      <c r="S716" s="10">
        <f>MOD(R716,2)*4+FLOOR(R716/2,1)*6</f>
        <v>18</v>
      </c>
      <c r="T716" s="12" t="str">
        <f>IF(T715&lt;I712,"有效","无效")</f>
        <v>有效</v>
      </c>
    </row>
    <row r="717" spans="1:20" ht="20" customHeight="1">
      <c r="A717" s="22">
        <v>144</v>
      </c>
      <c r="B717" s="23" t="s">
        <v>235</v>
      </c>
      <c r="C717" s="24" t="s">
        <v>236</v>
      </c>
      <c r="D717" s="14">
        <f>LEN($B717)</f>
        <v>3</v>
      </c>
      <c r="E717" s="14">
        <f>LEN(C717)+3</f>
        <v>5</v>
      </c>
      <c r="F717" s="14">
        <f>MOD(D717,2)*4+FLOOR(D717/2,1)*6</f>
        <v>10</v>
      </c>
      <c r="G717" s="14">
        <f>MOD(E717,2)*4+FLOOR(E717/2,1)*6</f>
        <v>16</v>
      </c>
      <c r="H717" s="14">
        <v>12</v>
      </c>
      <c r="I717" s="14">
        <f>108-H717-G717-F717</f>
        <v>70</v>
      </c>
      <c r="J717" s="30"/>
    </row>
    <row r="718" spans="1:20" ht="20" customHeight="1">
      <c r="A718" s="22"/>
      <c r="B718" s="6" t="str">
        <f>IF(H718&lt;=12,"有效","无效")</f>
        <v>有效</v>
      </c>
      <c r="C718" s="34" t="s">
        <v>2165</v>
      </c>
      <c r="D718" s="35"/>
      <c r="E718" s="35"/>
      <c r="F718" s="35"/>
      <c r="G718" s="36"/>
      <c r="H718" s="4">
        <f>LEN(C718)</f>
        <v>3</v>
      </c>
      <c r="I718" s="11">
        <f>MOD(H718,2)*4+FLOOR(H718/2,1)*6</f>
        <v>10</v>
      </c>
      <c r="J718" s="12">
        <f>I718+I719</f>
        <v>26</v>
      </c>
      <c r="K718" s="20"/>
      <c r="L718" s="13" t="str">
        <f>IF(R718&lt;=12,"有效","无效")</f>
        <v>有效</v>
      </c>
      <c r="M718" s="35" t="s">
        <v>1374</v>
      </c>
      <c r="N718" s="35"/>
      <c r="O718" s="35"/>
      <c r="P718" s="35"/>
      <c r="Q718" s="36"/>
      <c r="R718" s="10">
        <f>LEN(M718)</f>
        <v>10</v>
      </c>
      <c r="S718" s="10">
        <f>MOD(R718,2)*4+FLOOR(R718/2,1)*6</f>
        <v>30</v>
      </c>
      <c r="T718" s="12">
        <f>S718+S719</f>
        <v>46</v>
      </c>
    </row>
    <row r="719" spans="1:20" ht="20" customHeight="1">
      <c r="A719" s="22"/>
      <c r="B719" s="6" t="str">
        <f>IF(H719&lt;=12,"有效","无效")</f>
        <v>有效</v>
      </c>
      <c r="C719" s="34" t="s">
        <v>2166</v>
      </c>
      <c r="D719" s="35"/>
      <c r="E719" s="35"/>
      <c r="F719" s="35"/>
      <c r="G719" s="36"/>
      <c r="H719" s="4">
        <f>LEN(C719)</f>
        <v>5</v>
      </c>
      <c r="I719" s="11">
        <f>MOD(H719,2)*4+FLOOR(H719/2,1)*6</f>
        <v>16</v>
      </c>
      <c r="J719" s="12" t="str">
        <f>IF(J718&lt;I717,"有效","无效")</f>
        <v>有效</v>
      </c>
      <c r="K719" s="20"/>
      <c r="L719" s="6" t="str">
        <f>IF(R719&lt;=12,"有效","无效")</f>
        <v>有效</v>
      </c>
      <c r="M719" s="34" t="s">
        <v>1375</v>
      </c>
      <c r="N719" s="35"/>
      <c r="O719" s="35"/>
      <c r="P719" s="35"/>
      <c r="Q719" s="36"/>
      <c r="R719" s="10">
        <f>LEN(M719)</f>
        <v>5</v>
      </c>
      <c r="S719" s="10">
        <f>MOD(R719,2)*4+FLOOR(R719/2,1)*6</f>
        <v>16</v>
      </c>
      <c r="T719" s="12" t="str">
        <f>IF(T718&lt;I717,"有效","无效")</f>
        <v>有效</v>
      </c>
    </row>
    <row r="720" spans="1:20" ht="20" customHeight="1">
      <c r="A720" s="22"/>
      <c r="B720" s="6" t="str">
        <f>IF(H720&lt;=12,"有效","无效")</f>
        <v>有效</v>
      </c>
      <c r="C720" s="34" t="s">
        <v>2163</v>
      </c>
      <c r="D720" s="35"/>
      <c r="E720" s="35"/>
      <c r="F720" s="35"/>
      <c r="G720" s="36"/>
      <c r="H720" s="4">
        <f>LEN(C720)</f>
        <v>11</v>
      </c>
      <c r="I720" s="11">
        <f>MOD(H720,2)*4+FLOOR(H720/2,1)*6</f>
        <v>34</v>
      </c>
      <c r="J720" s="12">
        <f>I720+I721</f>
        <v>68</v>
      </c>
      <c r="K720" s="20"/>
      <c r="L720" s="6" t="str">
        <f>IF(R720&lt;=12,"有效","无效")</f>
        <v>有效</v>
      </c>
      <c r="M720" s="34" t="s">
        <v>1376</v>
      </c>
      <c r="N720" s="35"/>
      <c r="O720" s="35"/>
      <c r="P720" s="35"/>
      <c r="Q720" s="36"/>
      <c r="R720" s="10">
        <f>LEN(M720)</f>
        <v>10</v>
      </c>
      <c r="S720" s="10">
        <f>MOD(R720,2)*4+FLOOR(R720/2,1)*6</f>
        <v>30</v>
      </c>
      <c r="T720" s="12">
        <f>S720+S721</f>
        <v>48</v>
      </c>
    </row>
    <row r="721" spans="1:20" ht="20" customHeight="1">
      <c r="A721" s="22"/>
      <c r="B721" s="6" t="str">
        <f>IF(H721&lt;=12,"有效","无效")</f>
        <v>有效</v>
      </c>
      <c r="C721" s="34" t="s">
        <v>2164</v>
      </c>
      <c r="D721" s="35"/>
      <c r="E721" s="35"/>
      <c r="F721" s="35"/>
      <c r="G721" s="36"/>
      <c r="H721" s="4">
        <f>LEN(C721)</f>
        <v>11</v>
      </c>
      <c r="I721" s="11">
        <f>MOD(H721,2)*4+FLOOR(H721/2,1)*6</f>
        <v>34</v>
      </c>
      <c r="J721" s="12" t="str">
        <f>IF(J720&lt;I717,"有效","无效")</f>
        <v>有效</v>
      </c>
      <c r="K721" s="20"/>
      <c r="L721" s="6" t="str">
        <f>IF(R721&lt;=12,"有效","无效")</f>
        <v>有效</v>
      </c>
      <c r="M721" s="34" t="s">
        <v>1377</v>
      </c>
      <c r="N721" s="35"/>
      <c r="O721" s="35"/>
      <c r="P721" s="35"/>
      <c r="Q721" s="36"/>
      <c r="R721" s="10">
        <f>LEN(M721)</f>
        <v>6</v>
      </c>
      <c r="S721" s="10">
        <f>MOD(R721,2)*4+FLOOR(R721/2,1)*6</f>
        <v>18</v>
      </c>
      <c r="T721" s="12" t="str">
        <f>IF(T720&lt;I717,"有效","无效")</f>
        <v>有效</v>
      </c>
    </row>
    <row r="722" spans="1:20" ht="20" customHeight="1">
      <c r="A722" s="22">
        <v>145</v>
      </c>
      <c r="B722" s="23" t="s">
        <v>237</v>
      </c>
      <c r="C722" s="24" t="s">
        <v>201</v>
      </c>
      <c r="D722" s="14">
        <f>LEN($B722)</f>
        <v>3</v>
      </c>
      <c r="E722" s="14">
        <f>LEN(C722)+3</f>
        <v>5</v>
      </c>
      <c r="F722" s="14">
        <f>MOD(D722,2)*4+FLOOR(D722/2,1)*6</f>
        <v>10</v>
      </c>
      <c r="G722" s="14">
        <f>MOD(E722,2)*4+FLOOR(E722/2,1)*6</f>
        <v>16</v>
      </c>
      <c r="H722" s="14">
        <v>12</v>
      </c>
      <c r="I722" s="14">
        <f>108-H722-G722-F722</f>
        <v>70</v>
      </c>
      <c r="J722" s="30"/>
    </row>
    <row r="723" spans="1:20" ht="20" customHeight="1">
      <c r="A723" s="22"/>
      <c r="B723" s="6" t="str">
        <f>IF(H723&lt;=12,"有效","无效")</f>
        <v>有效</v>
      </c>
      <c r="C723" s="34" t="s">
        <v>2165</v>
      </c>
      <c r="D723" s="35"/>
      <c r="E723" s="35"/>
      <c r="F723" s="35"/>
      <c r="G723" s="36"/>
      <c r="H723" s="4">
        <f>LEN(C723)</f>
        <v>3</v>
      </c>
      <c r="I723" s="11">
        <f>MOD(H723,2)*4+FLOOR(H723/2,1)*6</f>
        <v>10</v>
      </c>
      <c r="J723" s="12">
        <f>I723+I724</f>
        <v>32</v>
      </c>
      <c r="K723" s="20"/>
      <c r="L723" s="13" t="str">
        <f>IF(R723&lt;=12,"有效","无效")</f>
        <v>有效</v>
      </c>
      <c r="M723" s="35" t="s">
        <v>2165</v>
      </c>
      <c r="N723" s="35"/>
      <c r="O723" s="35"/>
      <c r="P723" s="35"/>
      <c r="Q723" s="36"/>
      <c r="R723" s="10">
        <f>LEN(M723)</f>
        <v>3</v>
      </c>
      <c r="S723" s="10">
        <f>MOD(R723,2)*4+FLOOR(R723/2,1)*6</f>
        <v>10</v>
      </c>
      <c r="T723" s="12">
        <f>S723+S724</f>
        <v>26</v>
      </c>
    </row>
    <row r="724" spans="1:20" ht="20" customHeight="1">
      <c r="A724" s="22"/>
      <c r="B724" s="6" t="str">
        <f>IF(H724&lt;=12,"有效","无效")</f>
        <v>有效</v>
      </c>
      <c r="C724" s="34" t="s">
        <v>2168</v>
      </c>
      <c r="D724" s="35"/>
      <c r="E724" s="35"/>
      <c r="F724" s="35"/>
      <c r="G724" s="36"/>
      <c r="H724" s="4">
        <f>LEN(C724)</f>
        <v>7</v>
      </c>
      <c r="I724" s="11">
        <f>MOD(H724,2)*4+FLOOR(H724/2,1)*6</f>
        <v>22</v>
      </c>
      <c r="J724" s="12" t="str">
        <f>IF(J723&lt;I722,"有效","无效")</f>
        <v>有效</v>
      </c>
      <c r="K724" s="20"/>
      <c r="L724" s="6" t="str">
        <f>IF(R724&lt;=12,"有效","无效")</f>
        <v>有效</v>
      </c>
      <c r="M724" s="34" t="s">
        <v>2166</v>
      </c>
      <c r="N724" s="35"/>
      <c r="O724" s="35"/>
      <c r="P724" s="35"/>
      <c r="Q724" s="36"/>
      <c r="R724" s="10">
        <f>LEN(M724)</f>
        <v>5</v>
      </c>
      <c r="S724" s="10">
        <f>MOD(R724,2)*4+FLOOR(R724/2,1)*6</f>
        <v>16</v>
      </c>
      <c r="T724" s="12" t="str">
        <f>IF(T723&lt;I722,"有效","无效")</f>
        <v>有效</v>
      </c>
    </row>
    <row r="725" spans="1:20" ht="20" customHeight="1">
      <c r="A725" s="22"/>
      <c r="B725" s="6" t="str">
        <f>IF(H725&lt;=12,"有效","无效")</f>
        <v>有效</v>
      </c>
      <c r="C725" s="34" t="s">
        <v>2167</v>
      </c>
      <c r="D725" s="35"/>
      <c r="E725" s="35"/>
      <c r="F725" s="35"/>
      <c r="G725" s="36"/>
      <c r="H725" s="4">
        <f>LEN(C725)</f>
        <v>11</v>
      </c>
      <c r="I725" s="11">
        <f>MOD(H725,2)*4+FLOOR(H725/2,1)*6</f>
        <v>34</v>
      </c>
      <c r="J725" s="12">
        <f>I725+I726</f>
        <v>52</v>
      </c>
      <c r="K725" s="20"/>
      <c r="L725" s="6" t="str">
        <f>IF(R725&lt;=12,"有效","无效")</f>
        <v>有效</v>
      </c>
      <c r="M725" s="34" t="s">
        <v>2312</v>
      </c>
      <c r="N725" s="35"/>
      <c r="O725" s="35"/>
      <c r="P725" s="35"/>
      <c r="Q725" s="36"/>
      <c r="R725" s="10">
        <f>LEN(M725)</f>
        <v>12</v>
      </c>
      <c r="S725" s="10">
        <f>MOD(R725,2)*4+FLOOR(R725/2,1)*6</f>
        <v>36</v>
      </c>
      <c r="T725" s="12">
        <f>S725+S726</f>
        <v>54</v>
      </c>
    </row>
    <row r="726" spans="1:20" ht="20" customHeight="1">
      <c r="A726" s="22"/>
      <c r="B726" s="6" t="str">
        <f>IF(H726&lt;=12,"有效","无效")</f>
        <v>有效</v>
      </c>
      <c r="C726" s="34" t="s">
        <v>1378</v>
      </c>
      <c r="D726" s="35"/>
      <c r="E726" s="35"/>
      <c r="F726" s="35"/>
      <c r="G726" s="36"/>
      <c r="H726" s="4">
        <f>LEN(C726)</f>
        <v>6</v>
      </c>
      <c r="I726" s="11">
        <f>MOD(H726,2)*4+FLOOR(H726/2,1)*6</f>
        <v>18</v>
      </c>
      <c r="J726" s="12" t="str">
        <f>IF(J725&lt;I722,"有效","无效")</f>
        <v>有效</v>
      </c>
      <c r="K726" s="20"/>
      <c r="L726" s="6" t="str">
        <f>IF(R726&lt;=12,"有效","无效")</f>
        <v>有效</v>
      </c>
      <c r="M726" s="34" t="s">
        <v>1379</v>
      </c>
      <c r="N726" s="35"/>
      <c r="O726" s="35"/>
      <c r="P726" s="35"/>
      <c r="Q726" s="36"/>
      <c r="R726" s="10">
        <f>LEN(M726)</f>
        <v>6</v>
      </c>
      <c r="S726" s="10">
        <f>MOD(R726,2)*4+FLOOR(R726/2,1)*6</f>
        <v>18</v>
      </c>
      <c r="T726" s="12" t="str">
        <f>IF(T725&lt;I722,"有效","无效")</f>
        <v>有效</v>
      </c>
    </row>
    <row r="727" spans="1:20" ht="20" customHeight="1">
      <c r="A727" s="22">
        <v>146</v>
      </c>
      <c r="B727" s="23" t="s">
        <v>238</v>
      </c>
      <c r="C727" s="24" t="s">
        <v>9</v>
      </c>
      <c r="D727" s="14">
        <f>LEN($B727)</f>
        <v>3</v>
      </c>
      <c r="E727" s="14">
        <f>LEN(C727)+3</f>
        <v>5</v>
      </c>
      <c r="F727" s="14">
        <f>MOD(D727,2)*4+FLOOR(D727/2,1)*6</f>
        <v>10</v>
      </c>
      <c r="G727" s="14">
        <f>MOD(E727,2)*4+FLOOR(E727/2,1)*6</f>
        <v>16</v>
      </c>
      <c r="H727" s="14">
        <v>12</v>
      </c>
      <c r="I727" s="14">
        <f>108-H727-G727-F727</f>
        <v>70</v>
      </c>
    </row>
    <row r="728" spans="1:20" ht="20" customHeight="1">
      <c r="A728" s="22"/>
      <c r="B728" s="6" t="str">
        <f>IF(H728&lt;=12,"有效","无效")</f>
        <v>有效</v>
      </c>
      <c r="C728" s="34" t="s">
        <v>1380</v>
      </c>
      <c r="D728" s="35"/>
      <c r="E728" s="35"/>
      <c r="F728" s="35"/>
      <c r="G728" s="36"/>
      <c r="H728" s="4">
        <f>LEN(C728)</f>
        <v>6</v>
      </c>
      <c r="I728" s="11">
        <f>MOD(H728,2)*4+FLOOR(H728/2,1)*6</f>
        <v>18</v>
      </c>
      <c r="J728" s="12">
        <f>I728+I729</f>
        <v>40</v>
      </c>
      <c r="K728" s="20"/>
      <c r="L728" s="13" t="str">
        <f>IF(R728&lt;=12,"有效","无效")</f>
        <v>有效</v>
      </c>
      <c r="M728" s="35" t="s">
        <v>2165</v>
      </c>
      <c r="N728" s="35"/>
      <c r="O728" s="35"/>
      <c r="P728" s="35"/>
      <c r="Q728" s="36"/>
      <c r="R728" s="10">
        <f>LEN(M728)</f>
        <v>3</v>
      </c>
      <c r="S728" s="10">
        <f>MOD(R728,2)*4+FLOOR(R728/2,1)*6</f>
        <v>10</v>
      </c>
      <c r="T728" s="12">
        <f>S728+S729</f>
        <v>22</v>
      </c>
    </row>
    <row r="729" spans="1:20" ht="20" customHeight="1">
      <c r="A729" s="22"/>
      <c r="B729" s="6" t="str">
        <f>IF(H729&lt;=12,"有效","无效")</f>
        <v>有效</v>
      </c>
      <c r="C729" s="34" t="s">
        <v>1381</v>
      </c>
      <c r="D729" s="35"/>
      <c r="E729" s="35"/>
      <c r="F729" s="35"/>
      <c r="G729" s="36"/>
      <c r="H729" s="4">
        <f>LEN(C729)</f>
        <v>7</v>
      </c>
      <c r="I729" s="11">
        <f>MOD(H729,2)*4+FLOOR(H729/2,1)*6</f>
        <v>22</v>
      </c>
      <c r="J729" s="12" t="str">
        <f>IF(J728&lt;I727,"有效","无效")</f>
        <v>有效</v>
      </c>
      <c r="K729" s="20"/>
      <c r="L729" s="6" t="str">
        <f>IF(R729&lt;=12,"有效","无效")</f>
        <v>有效</v>
      </c>
      <c r="M729" s="34" t="s">
        <v>2143</v>
      </c>
      <c r="N729" s="35"/>
      <c r="O729" s="35"/>
      <c r="P729" s="35"/>
      <c r="Q729" s="36"/>
      <c r="R729" s="10">
        <f>LEN(M729)</f>
        <v>4</v>
      </c>
      <c r="S729" s="10">
        <f>MOD(R729,2)*4+FLOOR(R729/2,1)*6</f>
        <v>12</v>
      </c>
      <c r="T729" s="12" t="str">
        <f>IF(T728&lt;I727,"有效","无效")</f>
        <v>有效</v>
      </c>
    </row>
    <row r="730" spans="1:20" ht="20" customHeight="1">
      <c r="A730" s="22"/>
      <c r="B730" s="6" t="str">
        <f>IF(H730&lt;=12,"有效","无效")</f>
        <v>有效</v>
      </c>
      <c r="C730" s="34" t="s">
        <v>1382</v>
      </c>
      <c r="D730" s="35"/>
      <c r="E730" s="35"/>
      <c r="F730" s="35"/>
      <c r="G730" s="36"/>
      <c r="H730" s="4">
        <f>LEN(C730)</f>
        <v>9</v>
      </c>
      <c r="I730" s="11">
        <f>MOD(H730,2)*4+FLOOR(H730/2,1)*6</f>
        <v>28</v>
      </c>
      <c r="J730" s="12">
        <f>I730+I731</f>
        <v>50</v>
      </c>
      <c r="K730" s="20"/>
      <c r="L730" s="6" t="str">
        <f>IF(R730&lt;=12,"有效","无效")</f>
        <v>有效</v>
      </c>
      <c r="M730" s="34" t="s">
        <v>2313</v>
      </c>
      <c r="N730" s="35"/>
      <c r="O730" s="35"/>
      <c r="P730" s="35"/>
      <c r="Q730" s="36"/>
      <c r="R730" s="10">
        <f>LEN(M730)</f>
        <v>11</v>
      </c>
      <c r="S730" s="10">
        <f>MOD(R730,2)*4+FLOOR(R730/2,1)*6</f>
        <v>34</v>
      </c>
      <c r="T730" s="12">
        <f>S730+S731</f>
        <v>64</v>
      </c>
    </row>
    <row r="731" spans="1:20" ht="20" customHeight="1">
      <c r="A731" s="22"/>
      <c r="B731" s="6" t="str">
        <f>IF(H731&lt;=12,"有效","无效")</f>
        <v>有效</v>
      </c>
      <c r="C731" s="34" t="s">
        <v>1383</v>
      </c>
      <c r="D731" s="35"/>
      <c r="E731" s="35"/>
      <c r="F731" s="35"/>
      <c r="G731" s="36"/>
      <c r="H731" s="4">
        <f>LEN(C731)</f>
        <v>7</v>
      </c>
      <c r="I731" s="11">
        <f>MOD(H731,2)*4+FLOOR(H731/2,1)*6</f>
        <v>22</v>
      </c>
      <c r="J731" s="12" t="str">
        <f>IF(J730&lt;I727,"有效","无效")</f>
        <v>有效</v>
      </c>
      <c r="K731" s="20"/>
      <c r="L731" s="6" t="str">
        <f>IF(R731&lt;=12,"有效","无效")</f>
        <v>有效</v>
      </c>
      <c r="M731" s="34" t="s">
        <v>2314</v>
      </c>
      <c r="N731" s="35"/>
      <c r="O731" s="35"/>
      <c r="P731" s="35"/>
      <c r="Q731" s="36"/>
      <c r="R731" s="10">
        <f>LEN(M731)</f>
        <v>10</v>
      </c>
      <c r="S731" s="10">
        <f>MOD(R731,2)*4+FLOOR(R731/2,1)*6</f>
        <v>30</v>
      </c>
      <c r="T731" s="12" t="str">
        <f>IF(T730&lt;I727,"有效","无效")</f>
        <v>有效</v>
      </c>
    </row>
    <row r="732" spans="1:20" ht="20" customHeight="1">
      <c r="A732" s="22">
        <v>147</v>
      </c>
      <c r="B732" s="23" t="s">
        <v>239</v>
      </c>
      <c r="C732" s="24" t="s">
        <v>185</v>
      </c>
      <c r="D732" s="14">
        <f>LEN($B732)</f>
        <v>3</v>
      </c>
      <c r="E732" s="14">
        <f>LEN(C732)+3</f>
        <v>4</v>
      </c>
      <c r="F732" s="14">
        <f>MOD(D732,2)*4+FLOOR(D732/2,1)*6</f>
        <v>10</v>
      </c>
      <c r="G732" s="14">
        <f>MOD(E732,2)*4+FLOOR(E732/2,1)*6</f>
        <v>12</v>
      </c>
      <c r="H732" s="14">
        <v>12</v>
      </c>
      <c r="I732" s="14">
        <f>108-H732-G732-F732</f>
        <v>74</v>
      </c>
    </row>
    <row r="733" spans="1:20" ht="20" customHeight="1">
      <c r="A733" s="22"/>
      <c r="B733" s="6" t="str">
        <f>IF(H733&lt;=12,"有效","无效")</f>
        <v>有效</v>
      </c>
      <c r="C733" s="31" t="s">
        <v>1386</v>
      </c>
      <c r="D733" s="32"/>
      <c r="E733" s="32"/>
      <c r="F733" s="32"/>
      <c r="G733" s="33"/>
      <c r="H733" s="4">
        <f>LEN(C733)</f>
        <v>5</v>
      </c>
      <c r="I733" s="11">
        <f>MOD(H733,2)*4+FLOOR(H733/2,1)*6</f>
        <v>16</v>
      </c>
      <c r="J733" s="12">
        <f>I733+I734</f>
        <v>38</v>
      </c>
      <c r="K733" s="20"/>
      <c r="L733" s="13" t="str">
        <f>IF(R733&lt;=12,"有效","无效")</f>
        <v>有效</v>
      </c>
      <c r="M733" s="32" t="s">
        <v>1388</v>
      </c>
      <c r="N733" s="32"/>
      <c r="O733" s="32"/>
      <c r="P733" s="32"/>
      <c r="Q733" s="33"/>
      <c r="R733" s="10">
        <f>LEN(M733)</f>
        <v>6</v>
      </c>
      <c r="S733" s="10">
        <f>MOD(R733,2)*4+FLOOR(R733/2,1)*6</f>
        <v>18</v>
      </c>
      <c r="T733" s="12">
        <f>S733+S734</f>
        <v>40</v>
      </c>
    </row>
    <row r="734" spans="1:20" ht="20" customHeight="1">
      <c r="A734" s="22"/>
      <c r="B734" s="6" t="str">
        <f>IF(H734&lt;=12,"有效","无效")</f>
        <v>有效</v>
      </c>
      <c r="C734" s="31" t="s">
        <v>1387</v>
      </c>
      <c r="D734" s="32"/>
      <c r="E734" s="32"/>
      <c r="F734" s="32"/>
      <c r="G734" s="33"/>
      <c r="H734" s="4">
        <f>LEN(C734)</f>
        <v>7</v>
      </c>
      <c r="I734" s="11">
        <f>MOD(H734,2)*4+FLOOR(H734/2,1)*6</f>
        <v>22</v>
      </c>
      <c r="J734" s="12" t="str">
        <f>IF(J733&lt;I732,"有效","无效")</f>
        <v>有效</v>
      </c>
      <c r="K734" s="20"/>
      <c r="L734" s="6" t="str">
        <f>IF(R734&lt;=12,"有效","无效")</f>
        <v>有效</v>
      </c>
      <c r="M734" s="31" t="s">
        <v>1389</v>
      </c>
      <c r="N734" s="32"/>
      <c r="O734" s="32"/>
      <c r="P734" s="32"/>
      <c r="Q734" s="33"/>
      <c r="R734" s="10">
        <f>LEN(M734)</f>
        <v>7</v>
      </c>
      <c r="S734" s="10">
        <f>MOD(R734,2)*4+FLOOR(R734/2,1)*6</f>
        <v>22</v>
      </c>
      <c r="T734" s="12" t="str">
        <f>IF(T733&lt;I732,"有效","无效")</f>
        <v>有效</v>
      </c>
    </row>
    <row r="735" spans="1:20" ht="20" customHeight="1">
      <c r="A735" s="22"/>
      <c r="B735" s="6" t="str">
        <f>IF(H735&lt;=12,"有效","无效")</f>
        <v>有效</v>
      </c>
      <c r="C735" s="31" t="s">
        <v>1385</v>
      </c>
      <c r="D735" s="32"/>
      <c r="E735" s="32"/>
      <c r="F735" s="32"/>
      <c r="G735" s="33"/>
      <c r="H735" s="4">
        <f>LEN(C735)</f>
        <v>12</v>
      </c>
      <c r="I735" s="11">
        <f>MOD(H735,2)*4+FLOOR(H735/2,1)*6</f>
        <v>36</v>
      </c>
      <c r="J735" s="12">
        <f>I735+I736</f>
        <v>66</v>
      </c>
      <c r="K735" s="20"/>
      <c r="L735" s="6" t="str">
        <f>IF(R735&lt;=12,"有效","无效")</f>
        <v>有效</v>
      </c>
      <c r="M735" s="31" t="s">
        <v>1390</v>
      </c>
      <c r="N735" s="32"/>
      <c r="O735" s="32"/>
      <c r="P735" s="32"/>
      <c r="Q735" s="33"/>
      <c r="R735" s="10">
        <f>LEN(M735)</f>
        <v>8</v>
      </c>
      <c r="S735" s="10">
        <f>MOD(R735,2)*4+FLOOR(R735/2,1)*6</f>
        <v>24</v>
      </c>
      <c r="T735" s="12">
        <f>S735+S736</f>
        <v>42</v>
      </c>
    </row>
    <row r="736" spans="1:20" ht="20" customHeight="1">
      <c r="A736" s="22"/>
      <c r="B736" s="6" t="str">
        <f>IF(H736&lt;=12,"有效","无效")</f>
        <v>有效</v>
      </c>
      <c r="C736" s="31" t="s">
        <v>1384</v>
      </c>
      <c r="D736" s="32"/>
      <c r="E736" s="32"/>
      <c r="F736" s="32"/>
      <c r="G736" s="33"/>
      <c r="H736" s="4">
        <f>LEN(C736)</f>
        <v>10</v>
      </c>
      <c r="I736" s="11">
        <f>MOD(H736,2)*4+FLOOR(H736/2,1)*6</f>
        <v>30</v>
      </c>
      <c r="J736" s="12" t="str">
        <f>IF(J735&lt;I732,"有效","无效")</f>
        <v>有效</v>
      </c>
      <c r="K736" s="20"/>
      <c r="L736" s="6" t="str">
        <f>IF(R736&lt;=12,"有效","无效")</f>
        <v>有效</v>
      </c>
      <c r="M736" s="31" t="s">
        <v>1391</v>
      </c>
      <c r="N736" s="32"/>
      <c r="O736" s="32"/>
      <c r="P736" s="32"/>
      <c r="Q736" s="33"/>
      <c r="R736" s="10">
        <f>LEN(M736)</f>
        <v>6</v>
      </c>
      <c r="S736" s="10">
        <f>MOD(R736,2)*4+FLOOR(R736/2,1)*6</f>
        <v>18</v>
      </c>
      <c r="T736" s="12" t="str">
        <f>IF(T735&lt;I732,"有效","无效")</f>
        <v>有效</v>
      </c>
    </row>
    <row r="737" spans="1:20" ht="20" customHeight="1">
      <c r="A737" s="22">
        <v>148</v>
      </c>
      <c r="B737" s="23" t="s">
        <v>240</v>
      </c>
      <c r="C737" s="24" t="s">
        <v>185</v>
      </c>
      <c r="D737" s="14">
        <f>LEN($B737)</f>
        <v>3</v>
      </c>
      <c r="E737" s="14">
        <f>LEN(C737)+3</f>
        <v>4</v>
      </c>
      <c r="F737" s="14">
        <f>MOD(D737,2)*4+FLOOR(D737/2,1)*6</f>
        <v>10</v>
      </c>
      <c r="G737" s="14">
        <f>MOD(E737,2)*4+FLOOR(E737/2,1)*6</f>
        <v>12</v>
      </c>
      <c r="H737" s="14">
        <v>12</v>
      </c>
      <c r="I737" s="14">
        <f>108-H737-G737-F737</f>
        <v>74</v>
      </c>
    </row>
    <row r="738" spans="1:20" ht="20" customHeight="1">
      <c r="A738" s="22"/>
      <c r="B738" s="6" t="str">
        <f>IF(H738&lt;=12,"有效","无效")</f>
        <v>有效</v>
      </c>
      <c r="C738" s="31" t="s">
        <v>1392</v>
      </c>
      <c r="D738" s="32"/>
      <c r="E738" s="32"/>
      <c r="F738" s="32"/>
      <c r="G738" s="33"/>
      <c r="H738" s="4">
        <f>LEN(C738)</f>
        <v>5</v>
      </c>
      <c r="I738" s="11">
        <f>MOD(H738,2)*4+FLOOR(H738/2,1)*6</f>
        <v>16</v>
      </c>
      <c r="J738" s="12">
        <f>I738+I739</f>
        <v>38</v>
      </c>
      <c r="K738" s="20"/>
      <c r="L738" s="13" t="str">
        <f>IF(R738&lt;=12,"有效","无效")</f>
        <v>有效</v>
      </c>
      <c r="M738" s="32" t="s">
        <v>2316</v>
      </c>
      <c r="N738" s="32"/>
      <c r="O738" s="32"/>
      <c r="P738" s="32"/>
      <c r="Q738" s="33"/>
      <c r="R738" s="10">
        <f>LEN(M738)</f>
        <v>6</v>
      </c>
      <c r="S738" s="10">
        <f>MOD(R738,2)*4+FLOOR(R738/2,1)*6</f>
        <v>18</v>
      </c>
      <c r="T738" s="12">
        <f>S738+S739</f>
        <v>30</v>
      </c>
    </row>
    <row r="739" spans="1:20" ht="20" customHeight="1">
      <c r="A739" s="22"/>
      <c r="B739" s="6" t="str">
        <f>IF(H739&lt;=12,"有效","无效")</f>
        <v>有效</v>
      </c>
      <c r="C739" s="31" t="s">
        <v>1393</v>
      </c>
      <c r="D739" s="32"/>
      <c r="E739" s="32"/>
      <c r="F739" s="32"/>
      <c r="G739" s="33"/>
      <c r="H739" s="4">
        <f>LEN(C739)</f>
        <v>7</v>
      </c>
      <c r="I739" s="11">
        <f>MOD(H739,2)*4+FLOOR(H739/2,1)*6</f>
        <v>22</v>
      </c>
      <c r="J739" s="12" t="str">
        <f>IF(J738&lt;I737,"有效","无效")</f>
        <v>有效</v>
      </c>
      <c r="K739" s="20"/>
      <c r="L739" s="6" t="str">
        <f>IF(R739&lt;=12,"有效","无效")</f>
        <v>有效</v>
      </c>
      <c r="M739" s="31" t="s">
        <v>2317</v>
      </c>
      <c r="N739" s="32"/>
      <c r="O739" s="32"/>
      <c r="P739" s="32"/>
      <c r="Q739" s="33"/>
      <c r="R739" s="10">
        <f>LEN(M739)</f>
        <v>4</v>
      </c>
      <c r="S739" s="10">
        <f>MOD(R739,2)*4+FLOOR(R739/2,1)*6</f>
        <v>12</v>
      </c>
      <c r="T739" s="12" t="str">
        <f>IF(T738&lt;I737,"有效","无效")</f>
        <v>有效</v>
      </c>
    </row>
    <row r="740" spans="1:20" ht="20" customHeight="1">
      <c r="A740" s="22"/>
      <c r="B740" s="6" t="str">
        <f>IF(H740&lt;=12,"有效","无效")</f>
        <v>有效</v>
      </c>
      <c r="C740" s="31" t="s">
        <v>1394</v>
      </c>
      <c r="D740" s="32"/>
      <c r="E740" s="32"/>
      <c r="F740" s="32"/>
      <c r="G740" s="33"/>
      <c r="H740" s="4">
        <f>LEN(C740)</f>
        <v>7</v>
      </c>
      <c r="I740" s="11">
        <f>MOD(H740,2)*4+FLOOR(H740/2,1)*6</f>
        <v>22</v>
      </c>
      <c r="J740" s="12">
        <f>I740+I741</f>
        <v>46</v>
      </c>
      <c r="K740" s="20"/>
      <c r="L740" s="6" t="str">
        <f>IF(R740&lt;=12,"有效","无效")</f>
        <v>有效</v>
      </c>
      <c r="M740" s="31" t="s">
        <v>2315</v>
      </c>
      <c r="N740" s="32"/>
      <c r="O740" s="32"/>
      <c r="P740" s="32"/>
      <c r="Q740" s="33"/>
      <c r="R740" s="10">
        <f>LEN(M740)</f>
        <v>10</v>
      </c>
      <c r="S740" s="10">
        <f>MOD(R740,2)*4+FLOOR(R740/2,1)*6</f>
        <v>30</v>
      </c>
      <c r="T740" s="12">
        <f>S740+S741</f>
        <v>48</v>
      </c>
    </row>
    <row r="741" spans="1:20" ht="20" customHeight="1">
      <c r="A741" s="22"/>
      <c r="B741" s="6" t="str">
        <f>IF(H741&lt;=12,"有效","无效")</f>
        <v>有效</v>
      </c>
      <c r="C741" s="31" t="s">
        <v>1395</v>
      </c>
      <c r="D741" s="32"/>
      <c r="E741" s="32"/>
      <c r="F741" s="32"/>
      <c r="G741" s="33"/>
      <c r="H741" s="4">
        <f>LEN(C741)</f>
        <v>8</v>
      </c>
      <c r="I741" s="11">
        <f>MOD(H741,2)*4+FLOOR(H741/2,1)*6</f>
        <v>24</v>
      </c>
      <c r="J741" s="12" t="str">
        <f>IF(J740&lt;I737,"有效","无效")</f>
        <v>有效</v>
      </c>
      <c r="K741" s="20"/>
      <c r="L741" s="6" t="str">
        <f>IF(R741&lt;=12,"有效","无效")</f>
        <v>有效</v>
      </c>
      <c r="M741" s="31" t="s">
        <v>1396</v>
      </c>
      <c r="N741" s="32"/>
      <c r="O741" s="32"/>
      <c r="P741" s="32"/>
      <c r="Q741" s="33"/>
      <c r="R741" s="10">
        <f>LEN(M741)</f>
        <v>6</v>
      </c>
      <c r="S741" s="10">
        <f>MOD(R741,2)*4+FLOOR(R741/2,1)*6</f>
        <v>18</v>
      </c>
      <c r="T741" s="12" t="str">
        <f>IF(T740&lt;I737,"有效","无效")</f>
        <v>有效</v>
      </c>
    </row>
    <row r="742" spans="1:20" ht="20" customHeight="1">
      <c r="A742" s="22">
        <v>149</v>
      </c>
      <c r="B742" s="23" t="s">
        <v>241</v>
      </c>
      <c r="C742" s="24" t="s">
        <v>185</v>
      </c>
      <c r="D742" s="14">
        <f>LEN($B742)</f>
        <v>2</v>
      </c>
      <c r="E742" s="14">
        <f>LEN(C742)+3</f>
        <v>4</v>
      </c>
      <c r="F742" s="14">
        <f>MOD(D742,2)*4+FLOOR(D742/2,1)*6</f>
        <v>6</v>
      </c>
      <c r="G742" s="14">
        <f>MOD(E742,2)*4+FLOOR(E742/2,1)*6</f>
        <v>12</v>
      </c>
      <c r="H742" s="14">
        <v>12</v>
      </c>
      <c r="I742" s="14">
        <f>108-H742-G742-F742</f>
        <v>78</v>
      </c>
    </row>
    <row r="743" spans="1:20" ht="20" customHeight="1">
      <c r="A743" s="22"/>
      <c r="B743" s="6" t="str">
        <f>IF(H743&lt;=12,"有效","无效")</f>
        <v>有效</v>
      </c>
      <c r="C743" s="34" t="s">
        <v>1397</v>
      </c>
      <c r="D743" s="35"/>
      <c r="E743" s="35"/>
      <c r="F743" s="35"/>
      <c r="G743" s="36"/>
      <c r="H743" s="4">
        <f>LEN(C743)</f>
        <v>6</v>
      </c>
      <c r="I743" s="11">
        <f>MOD(H743,2)*4+FLOOR(H743/2,1)*6</f>
        <v>18</v>
      </c>
      <c r="J743" s="12">
        <f>I743+I744</f>
        <v>42</v>
      </c>
      <c r="K743" s="20"/>
      <c r="L743" s="13" t="str">
        <f>IF(R743&lt;=12,"有效","无效")</f>
        <v>有效</v>
      </c>
      <c r="M743" s="35" t="s">
        <v>1401</v>
      </c>
      <c r="N743" s="35"/>
      <c r="O743" s="35"/>
      <c r="P743" s="35"/>
      <c r="Q743" s="36"/>
      <c r="R743" s="10">
        <f>LEN(M743)</f>
        <v>7</v>
      </c>
      <c r="S743" s="10">
        <f>MOD(R743,2)*4+FLOOR(R743/2,1)*6</f>
        <v>22</v>
      </c>
      <c r="T743" s="12">
        <f>S743+S744</f>
        <v>50</v>
      </c>
    </row>
    <row r="744" spans="1:20" ht="20" customHeight="1">
      <c r="A744" s="22"/>
      <c r="B744" s="6" t="str">
        <f>IF(H744&lt;=12,"有效","无效")</f>
        <v>有效</v>
      </c>
      <c r="C744" s="34" t="s">
        <v>1398</v>
      </c>
      <c r="D744" s="35"/>
      <c r="E744" s="35"/>
      <c r="F744" s="35"/>
      <c r="G744" s="36"/>
      <c r="H744" s="4">
        <f>LEN(C744)</f>
        <v>8</v>
      </c>
      <c r="I744" s="11">
        <f>MOD(H744,2)*4+FLOOR(H744/2,1)*6</f>
        <v>24</v>
      </c>
      <c r="J744" s="12" t="str">
        <f>IF(J743&lt;I742,"有效","无效")</f>
        <v>有效</v>
      </c>
      <c r="K744" s="20"/>
      <c r="L744" s="6" t="str">
        <f>IF(R744&lt;=12,"有效","无效")</f>
        <v>有效</v>
      </c>
      <c r="M744" s="34" t="s">
        <v>1402</v>
      </c>
      <c r="N744" s="35"/>
      <c r="O744" s="35"/>
      <c r="P744" s="35"/>
      <c r="Q744" s="36"/>
      <c r="R744" s="10">
        <f>LEN(M744)</f>
        <v>9</v>
      </c>
      <c r="S744" s="10">
        <f>MOD(R744,2)*4+FLOOR(R744/2,1)*6</f>
        <v>28</v>
      </c>
      <c r="T744" s="12" t="str">
        <f>IF(T743&lt;I742,"有效","无效")</f>
        <v>有效</v>
      </c>
    </row>
    <row r="745" spans="1:20" ht="20" customHeight="1">
      <c r="A745" s="22"/>
      <c r="B745" s="6" t="str">
        <f>IF(H745&lt;=12,"有效","无效")</f>
        <v>有效</v>
      </c>
      <c r="C745" s="34" t="s">
        <v>1399</v>
      </c>
      <c r="D745" s="35"/>
      <c r="E745" s="35"/>
      <c r="F745" s="35"/>
      <c r="G745" s="36"/>
      <c r="H745" s="4">
        <f>LEN(C745)</f>
        <v>8</v>
      </c>
      <c r="I745" s="11">
        <f>MOD(H745,2)*4+FLOOR(H745/2,1)*6</f>
        <v>24</v>
      </c>
      <c r="J745" s="12">
        <f>I745+I746</f>
        <v>46</v>
      </c>
      <c r="K745" s="20"/>
      <c r="L745" s="6" t="str">
        <f>IF(R745&lt;=12,"有效","无效")</f>
        <v>有效</v>
      </c>
      <c r="M745" s="34" t="s">
        <v>1403</v>
      </c>
      <c r="N745" s="35"/>
      <c r="O745" s="35"/>
      <c r="P745" s="35"/>
      <c r="Q745" s="36"/>
      <c r="R745" s="10">
        <f>LEN(M745)</f>
        <v>10</v>
      </c>
      <c r="S745" s="10">
        <f>MOD(R745,2)*4+FLOOR(R745/2,1)*6</f>
        <v>30</v>
      </c>
      <c r="T745" s="12">
        <f>S745+S746</f>
        <v>64</v>
      </c>
    </row>
    <row r="746" spans="1:20" ht="20" customHeight="1">
      <c r="A746" s="22"/>
      <c r="B746" s="6" t="str">
        <f>IF(H746&lt;=12,"有效","无效")</f>
        <v>有效</v>
      </c>
      <c r="C746" s="34" t="s">
        <v>1400</v>
      </c>
      <c r="D746" s="35"/>
      <c r="E746" s="35"/>
      <c r="F746" s="35"/>
      <c r="G746" s="36"/>
      <c r="H746" s="4">
        <f>LEN(C746)</f>
        <v>7</v>
      </c>
      <c r="I746" s="11">
        <f>MOD(H746,2)*4+FLOOR(H746/2,1)*6</f>
        <v>22</v>
      </c>
      <c r="J746" s="12" t="str">
        <f>IF(J745&lt;I742,"有效","无效")</f>
        <v>有效</v>
      </c>
      <c r="K746" s="20"/>
      <c r="L746" s="6" t="str">
        <f>IF(R746&lt;=12,"有效","无效")</f>
        <v>有效</v>
      </c>
      <c r="M746" s="34" t="s">
        <v>1404</v>
      </c>
      <c r="N746" s="35"/>
      <c r="O746" s="35"/>
      <c r="P746" s="35"/>
      <c r="Q746" s="36"/>
      <c r="R746" s="10">
        <f>LEN(M746)</f>
        <v>11</v>
      </c>
      <c r="S746" s="10">
        <f>MOD(R746,2)*4+FLOOR(R746/2,1)*6</f>
        <v>34</v>
      </c>
      <c r="T746" s="12" t="str">
        <f>IF(T745&lt;I742,"有效","无效")</f>
        <v>有效</v>
      </c>
    </row>
    <row r="747" spans="1:20" ht="20" customHeight="1">
      <c r="A747" s="22">
        <v>150</v>
      </c>
      <c r="B747" s="23" t="s">
        <v>242</v>
      </c>
      <c r="C747" s="24" t="s">
        <v>243</v>
      </c>
      <c r="D747" s="14">
        <f>LEN($B747)</f>
        <v>2</v>
      </c>
      <c r="E747" s="14">
        <f>LEN(C747)+3</f>
        <v>5</v>
      </c>
      <c r="F747" s="14">
        <f>MOD(D747,2)*4+FLOOR(D747/2,1)*6</f>
        <v>6</v>
      </c>
      <c r="G747" s="14">
        <f>MOD(E747,2)*4+FLOOR(E747/2,1)*6</f>
        <v>16</v>
      </c>
      <c r="H747" s="14">
        <v>12</v>
      </c>
      <c r="I747" s="14">
        <f>108-H747-G747-F747</f>
        <v>74</v>
      </c>
    </row>
    <row r="748" spans="1:20" ht="20" customHeight="1">
      <c r="A748" s="22"/>
      <c r="B748" s="6" t="str">
        <f>IF(H748&lt;=12,"有效","无效")</f>
        <v>有效</v>
      </c>
      <c r="C748" s="34" t="s">
        <v>1405</v>
      </c>
      <c r="D748" s="35"/>
      <c r="E748" s="35"/>
      <c r="F748" s="35"/>
      <c r="G748" s="36"/>
      <c r="H748" s="4">
        <f>LEN(C748)</f>
        <v>6</v>
      </c>
      <c r="I748" s="11">
        <f>MOD(H748,2)*4+FLOOR(H748/2,1)*6</f>
        <v>18</v>
      </c>
      <c r="J748" s="12">
        <f>I748+I749</f>
        <v>40</v>
      </c>
      <c r="K748" s="20"/>
      <c r="L748" s="13" t="str">
        <f>IF(R748&lt;=12,"有效","无效")</f>
        <v>有效</v>
      </c>
      <c r="M748" s="35" t="s">
        <v>1409</v>
      </c>
      <c r="N748" s="35"/>
      <c r="O748" s="35"/>
      <c r="P748" s="35"/>
      <c r="Q748" s="36"/>
      <c r="R748" s="10">
        <f>LEN(M748)</f>
        <v>7</v>
      </c>
      <c r="S748" s="10">
        <f>MOD(R748,2)*4+FLOOR(R748/2,1)*6</f>
        <v>22</v>
      </c>
      <c r="T748" s="12">
        <f>S748+S749</f>
        <v>56</v>
      </c>
    </row>
    <row r="749" spans="1:20" ht="20" customHeight="1">
      <c r="A749" s="22"/>
      <c r="B749" s="6" t="str">
        <f>IF(H749&lt;=12,"有效","无效")</f>
        <v>有效</v>
      </c>
      <c r="C749" s="34" t="s">
        <v>1406</v>
      </c>
      <c r="D749" s="35"/>
      <c r="E749" s="35"/>
      <c r="F749" s="35"/>
      <c r="G749" s="36"/>
      <c r="H749" s="4">
        <f>LEN(C749)</f>
        <v>7</v>
      </c>
      <c r="I749" s="11">
        <f>MOD(H749,2)*4+FLOOR(H749/2,1)*6</f>
        <v>22</v>
      </c>
      <c r="J749" s="12" t="str">
        <f>IF(J748&lt;I747,"有效","无效")</f>
        <v>有效</v>
      </c>
      <c r="K749" s="20"/>
      <c r="L749" s="6" t="str">
        <f>IF(R749&lt;=12,"有效","无效")</f>
        <v>有效</v>
      </c>
      <c r="M749" s="34" t="s">
        <v>1410</v>
      </c>
      <c r="N749" s="35"/>
      <c r="O749" s="35"/>
      <c r="P749" s="35"/>
      <c r="Q749" s="36"/>
      <c r="R749" s="10">
        <f>LEN(M749)</f>
        <v>11</v>
      </c>
      <c r="S749" s="10">
        <f>MOD(R749,2)*4+FLOOR(R749/2,1)*6</f>
        <v>34</v>
      </c>
      <c r="T749" s="12" t="str">
        <f>IF(T748&lt;I747,"有效","无效")</f>
        <v>有效</v>
      </c>
    </row>
    <row r="750" spans="1:20" ht="20" customHeight="1">
      <c r="A750" s="22"/>
      <c r="B750" s="6" t="str">
        <f>IF(H750&lt;=12,"有效","无效")</f>
        <v>有效</v>
      </c>
      <c r="C750" s="34" t="s">
        <v>1407</v>
      </c>
      <c r="D750" s="35"/>
      <c r="E750" s="35"/>
      <c r="F750" s="35"/>
      <c r="G750" s="36"/>
      <c r="H750" s="4">
        <f>LEN(C750)</f>
        <v>11</v>
      </c>
      <c r="I750" s="11">
        <f>MOD(H750,2)*4+FLOOR(H750/2,1)*6</f>
        <v>34</v>
      </c>
      <c r="J750" s="12">
        <f>I750+I751</f>
        <v>58</v>
      </c>
      <c r="K750" s="20"/>
      <c r="L750" s="6" t="str">
        <f>IF(R750&lt;=12,"有效","无效")</f>
        <v>有效</v>
      </c>
      <c r="M750" s="34" t="s">
        <v>1411</v>
      </c>
      <c r="N750" s="35"/>
      <c r="O750" s="35"/>
      <c r="P750" s="35"/>
      <c r="Q750" s="36"/>
      <c r="R750" s="10">
        <f>LEN(M750)</f>
        <v>5</v>
      </c>
      <c r="S750" s="10">
        <f>MOD(R750,2)*4+FLOOR(R750/2,1)*6</f>
        <v>16</v>
      </c>
      <c r="T750" s="12">
        <f>S750+S751</f>
        <v>46</v>
      </c>
    </row>
    <row r="751" spans="1:20" ht="20" customHeight="1">
      <c r="A751" s="22"/>
      <c r="B751" s="6" t="str">
        <f>IF(H751&lt;=12,"有效","无效")</f>
        <v>有效</v>
      </c>
      <c r="C751" s="34" t="s">
        <v>1408</v>
      </c>
      <c r="D751" s="35"/>
      <c r="E751" s="35"/>
      <c r="F751" s="35"/>
      <c r="G751" s="36"/>
      <c r="H751" s="4">
        <f>LEN(C751)</f>
        <v>8</v>
      </c>
      <c r="I751" s="11">
        <f>MOD(H751,2)*4+FLOOR(H751/2,1)*6</f>
        <v>24</v>
      </c>
      <c r="J751" s="12" t="str">
        <f>IF(J750&lt;I747,"有效","无效")</f>
        <v>有效</v>
      </c>
      <c r="K751" s="20"/>
      <c r="L751" s="6" t="str">
        <f>IF(R751&lt;=12,"有效","无效")</f>
        <v>有效</v>
      </c>
      <c r="M751" s="34" t="s">
        <v>1412</v>
      </c>
      <c r="N751" s="35"/>
      <c r="O751" s="35"/>
      <c r="P751" s="35"/>
      <c r="Q751" s="36"/>
      <c r="R751" s="10">
        <f>LEN(M751)</f>
        <v>10</v>
      </c>
      <c r="S751" s="10">
        <f>MOD(R751,2)*4+FLOOR(R751/2,1)*6</f>
        <v>30</v>
      </c>
      <c r="T751" s="12" t="str">
        <f>IF(T750&lt;I747,"有效","无效")</f>
        <v>有效</v>
      </c>
    </row>
    <row r="752" spans="1:20" ht="20" customHeight="1">
      <c r="A752" s="22">
        <v>151</v>
      </c>
      <c r="B752" s="23" t="s">
        <v>244</v>
      </c>
      <c r="C752" s="24" t="s">
        <v>245</v>
      </c>
      <c r="D752" s="14">
        <f>LEN($B752)</f>
        <v>2</v>
      </c>
      <c r="E752" s="14">
        <f>LEN(C752)+3</f>
        <v>5</v>
      </c>
      <c r="F752" s="14">
        <f>MOD(D752,2)*4+FLOOR(D752/2,1)*6</f>
        <v>6</v>
      </c>
      <c r="G752" s="14">
        <f>MOD(E752,2)*4+FLOOR(E752/2,1)*6</f>
        <v>16</v>
      </c>
      <c r="H752" s="14">
        <v>12</v>
      </c>
      <c r="I752" s="14">
        <f>108-H752-G752-F752</f>
        <v>74</v>
      </c>
    </row>
    <row r="753" spans="1:20" ht="20" customHeight="1">
      <c r="A753" s="22"/>
      <c r="B753" s="6" t="str">
        <f>IF(H753&lt;=12,"有效","无效")</f>
        <v>有效</v>
      </c>
      <c r="C753" s="34" t="s">
        <v>2169</v>
      </c>
      <c r="D753" s="35"/>
      <c r="E753" s="35"/>
      <c r="F753" s="35"/>
      <c r="G753" s="36"/>
      <c r="H753" s="4">
        <f>LEN(C753)</f>
        <v>10</v>
      </c>
      <c r="I753" s="11">
        <f>MOD(H753,2)*4+FLOOR(H753/2,1)*6</f>
        <v>30</v>
      </c>
      <c r="J753" s="12">
        <f>I753+I754</f>
        <v>60</v>
      </c>
      <c r="K753" s="20"/>
      <c r="L753" s="13" t="str">
        <f>IF(R753&lt;=12,"有效","无效")</f>
        <v>有效</v>
      </c>
      <c r="M753" s="32" t="s">
        <v>1414</v>
      </c>
      <c r="N753" s="32"/>
      <c r="O753" s="32"/>
      <c r="P753" s="32"/>
      <c r="Q753" s="33"/>
      <c r="R753" s="10">
        <f>LEN(M753)</f>
        <v>7</v>
      </c>
      <c r="S753" s="10">
        <f>MOD(R753,2)*4+FLOOR(R753/2,1)*6</f>
        <v>22</v>
      </c>
      <c r="T753" s="12">
        <f>S753+S754</f>
        <v>50</v>
      </c>
    </row>
    <row r="754" spans="1:20" ht="20" customHeight="1">
      <c r="A754" s="22"/>
      <c r="B754" s="6" t="str">
        <f>IF(H754&lt;=12,"有效","无效")</f>
        <v>有效</v>
      </c>
      <c r="C754" s="34" t="s">
        <v>1413</v>
      </c>
      <c r="D754" s="35"/>
      <c r="E754" s="35"/>
      <c r="F754" s="35"/>
      <c r="G754" s="36"/>
      <c r="H754" s="4">
        <f>LEN(C754)</f>
        <v>10</v>
      </c>
      <c r="I754" s="11">
        <f>MOD(H754,2)*4+FLOOR(H754/2,1)*6</f>
        <v>30</v>
      </c>
      <c r="J754" s="12" t="str">
        <f>IF(J753&lt;I752,"有效","无效")</f>
        <v>有效</v>
      </c>
      <c r="K754" s="20"/>
      <c r="L754" s="6" t="str">
        <f>IF(R754&lt;=12,"有效","无效")</f>
        <v>有效</v>
      </c>
      <c r="M754" s="31" t="s">
        <v>1415</v>
      </c>
      <c r="N754" s="32"/>
      <c r="O754" s="32"/>
      <c r="P754" s="32"/>
      <c r="Q754" s="33"/>
      <c r="R754" s="10">
        <f>LEN(M754)</f>
        <v>9</v>
      </c>
      <c r="S754" s="10">
        <f>MOD(R754,2)*4+FLOOR(R754/2,1)*6</f>
        <v>28</v>
      </c>
      <c r="T754" s="12" t="str">
        <f>IF(T753&lt;I752,"有效","无效")</f>
        <v>有效</v>
      </c>
    </row>
    <row r="755" spans="1:20" ht="20" customHeight="1">
      <c r="A755" s="22"/>
      <c r="B755" s="6" t="str">
        <f>IF(H755&lt;=12,"有效","无效")</f>
        <v>有效</v>
      </c>
      <c r="C755" s="34" t="s">
        <v>2171</v>
      </c>
      <c r="D755" s="35"/>
      <c r="E755" s="35"/>
      <c r="F755" s="35"/>
      <c r="G755" s="36"/>
      <c r="H755" s="4">
        <f>LEN(C755)</f>
        <v>3</v>
      </c>
      <c r="I755" s="11">
        <f>MOD(H755,2)*4+FLOOR(H755/2,1)*6</f>
        <v>10</v>
      </c>
      <c r="J755" s="12">
        <f>I755+I756</f>
        <v>20</v>
      </c>
      <c r="K755" s="20"/>
      <c r="L755" s="6" t="str">
        <f>IF(R755&lt;=12,"有效","无效")</f>
        <v>有效</v>
      </c>
      <c r="M755" s="31" t="s">
        <v>1416</v>
      </c>
      <c r="N755" s="32"/>
      <c r="O755" s="32"/>
      <c r="P755" s="32"/>
      <c r="Q755" s="33"/>
      <c r="R755" s="10">
        <f>LEN(M755)</f>
        <v>6</v>
      </c>
      <c r="S755" s="10">
        <f>MOD(R755,2)*4+FLOOR(R755/2,1)*6</f>
        <v>18</v>
      </c>
      <c r="T755" s="12">
        <f>S755+S756</f>
        <v>42</v>
      </c>
    </row>
    <row r="756" spans="1:20" ht="20" customHeight="1">
      <c r="A756" s="22"/>
      <c r="B756" s="6" t="str">
        <f>IF(H756&lt;=12,"有效","无效")</f>
        <v>有效</v>
      </c>
      <c r="C756" s="34" t="s">
        <v>2170</v>
      </c>
      <c r="D756" s="35"/>
      <c r="E756" s="35"/>
      <c r="F756" s="35"/>
      <c r="G756" s="36"/>
      <c r="H756" s="4">
        <f>LEN(C756)</f>
        <v>3</v>
      </c>
      <c r="I756" s="11">
        <f>MOD(H756,2)*4+FLOOR(H756/2,1)*6</f>
        <v>10</v>
      </c>
      <c r="J756" s="12" t="str">
        <f>IF(J755&lt;I752,"有效","无效")</f>
        <v>有效</v>
      </c>
      <c r="K756" s="20"/>
      <c r="L756" s="6" t="str">
        <f>IF(R756&lt;=12,"有效","无效")</f>
        <v>有效</v>
      </c>
      <c r="M756" s="31" t="s">
        <v>1417</v>
      </c>
      <c r="N756" s="32"/>
      <c r="O756" s="32"/>
      <c r="P756" s="32"/>
      <c r="Q756" s="33"/>
      <c r="R756" s="10">
        <f>LEN(M756)</f>
        <v>8</v>
      </c>
      <c r="S756" s="10">
        <f>MOD(R756,2)*4+FLOOR(R756/2,1)*6</f>
        <v>24</v>
      </c>
      <c r="T756" s="12" t="str">
        <f>IF(T755&lt;I752,"有效","无效")</f>
        <v>有效</v>
      </c>
    </row>
    <row r="757" spans="1:20" ht="20" customHeight="1">
      <c r="A757" s="22">
        <v>152</v>
      </c>
      <c r="B757" s="23" t="s">
        <v>246</v>
      </c>
      <c r="C757" s="24" t="s">
        <v>247</v>
      </c>
      <c r="D757" s="14">
        <f>LEN($B757)</f>
        <v>3</v>
      </c>
      <c r="E757" s="14">
        <f>LEN(C757)+3</f>
        <v>5</v>
      </c>
      <c r="F757" s="14">
        <f>MOD(D757,2)*4+FLOOR(D757/2,1)*6</f>
        <v>10</v>
      </c>
      <c r="G757" s="14">
        <f>MOD(E757,2)*4+FLOOR(E757/2,1)*6</f>
        <v>16</v>
      </c>
      <c r="H757" s="14">
        <v>12</v>
      </c>
      <c r="I757" s="14">
        <f>108-H757-G757-F757</f>
        <v>70</v>
      </c>
    </row>
    <row r="758" spans="1:20" ht="20" customHeight="1">
      <c r="A758" s="22"/>
      <c r="B758" s="6" t="str">
        <f>IF(H758&lt;=12,"有效","无效")</f>
        <v>有效</v>
      </c>
      <c r="C758" s="31" t="s">
        <v>1418</v>
      </c>
      <c r="D758" s="32"/>
      <c r="E758" s="32"/>
      <c r="F758" s="32"/>
      <c r="G758" s="33"/>
      <c r="H758" s="4">
        <f>LEN(C758)</f>
        <v>8</v>
      </c>
      <c r="I758" s="11">
        <f>MOD(H758,2)*4+FLOOR(H758/2,1)*6</f>
        <v>24</v>
      </c>
      <c r="J758" s="12">
        <f>I758+I759</f>
        <v>54</v>
      </c>
      <c r="K758" s="20"/>
      <c r="L758" s="13" t="str">
        <f>IF(R758&lt;=12,"有效","无效")</f>
        <v>有效</v>
      </c>
      <c r="M758" s="32" t="s">
        <v>2319</v>
      </c>
      <c r="N758" s="32"/>
      <c r="O758" s="32"/>
      <c r="P758" s="32"/>
      <c r="Q758" s="33"/>
      <c r="R758" s="10">
        <f>LEN(M758)</f>
        <v>5</v>
      </c>
      <c r="S758" s="10">
        <f>MOD(R758,2)*4+FLOOR(R758/2,1)*6</f>
        <v>16</v>
      </c>
      <c r="T758" s="12">
        <f>S758+S759</f>
        <v>22</v>
      </c>
    </row>
    <row r="759" spans="1:20" ht="20" customHeight="1">
      <c r="A759" s="22"/>
      <c r="B759" s="6" t="str">
        <f>IF(H759&lt;=12,"有效","无效")</f>
        <v>有效</v>
      </c>
      <c r="C759" s="31" t="s">
        <v>1419</v>
      </c>
      <c r="D759" s="32"/>
      <c r="E759" s="32"/>
      <c r="F759" s="32"/>
      <c r="G759" s="33"/>
      <c r="H759" s="4">
        <f>LEN(C759)</f>
        <v>10</v>
      </c>
      <c r="I759" s="11">
        <f>MOD(H759,2)*4+FLOOR(H759/2,1)*6</f>
        <v>30</v>
      </c>
      <c r="J759" s="12" t="str">
        <f>IF(J758&lt;I757,"有效","无效")</f>
        <v>有效</v>
      </c>
      <c r="K759" s="20"/>
      <c r="L759" s="6" t="str">
        <f>IF(R759&lt;=12,"有效","无效")</f>
        <v>有效</v>
      </c>
      <c r="M759" s="31" t="s">
        <v>2320</v>
      </c>
      <c r="N759" s="32"/>
      <c r="O759" s="32"/>
      <c r="P759" s="32"/>
      <c r="Q759" s="33"/>
      <c r="R759" s="10">
        <f>LEN(M759)</f>
        <v>2</v>
      </c>
      <c r="S759" s="10">
        <f>MOD(R759,2)*4+FLOOR(R759/2,1)*6</f>
        <v>6</v>
      </c>
      <c r="T759" s="12" t="str">
        <f>IF(T758&lt;I757,"有效","无效")</f>
        <v>有效</v>
      </c>
    </row>
    <row r="760" spans="1:20" ht="20" customHeight="1">
      <c r="A760" s="22"/>
      <c r="B760" s="6" t="str">
        <f>IF(H760&lt;=12,"有效","无效")</f>
        <v>有效</v>
      </c>
      <c r="C760" s="31" t="s">
        <v>1420</v>
      </c>
      <c r="D760" s="32"/>
      <c r="E760" s="32"/>
      <c r="F760" s="32"/>
      <c r="G760" s="33"/>
      <c r="H760" s="4">
        <f>LEN(C760)</f>
        <v>5</v>
      </c>
      <c r="I760" s="11">
        <f>MOD(H760,2)*4+FLOOR(H760/2,1)*6</f>
        <v>16</v>
      </c>
      <c r="J760" s="12">
        <f>I760+I761</f>
        <v>44</v>
      </c>
      <c r="K760" s="20"/>
      <c r="L760" s="6" t="str">
        <f>IF(R760&lt;=12,"有效","无效")</f>
        <v>有效</v>
      </c>
      <c r="M760" s="31" t="s">
        <v>2318</v>
      </c>
      <c r="N760" s="32"/>
      <c r="O760" s="32"/>
      <c r="P760" s="32"/>
      <c r="Q760" s="33"/>
      <c r="R760" s="10">
        <f>LEN(M760)</f>
        <v>11</v>
      </c>
      <c r="S760" s="10">
        <f>MOD(R760,2)*4+FLOOR(R760/2,1)*6</f>
        <v>34</v>
      </c>
      <c r="T760" s="12">
        <f>S760+S761</f>
        <v>52</v>
      </c>
    </row>
    <row r="761" spans="1:20" ht="20" customHeight="1">
      <c r="A761" s="22"/>
      <c r="B761" s="6" t="str">
        <f>IF(H761&lt;=12,"有效","无效")</f>
        <v>有效</v>
      </c>
      <c r="C761" s="31" t="s">
        <v>1421</v>
      </c>
      <c r="D761" s="32"/>
      <c r="E761" s="32"/>
      <c r="F761" s="32"/>
      <c r="G761" s="33"/>
      <c r="H761" s="4">
        <f>LEN(C761)</f>
        <v>9</v>
      </c>
      <c r="I761" s="11">
        <f>MOD(H761,2)*4+FLOOR(H761/2,1)*6</f>
        <v>28</v>
      </c>
      <c r="J761" s="12" t="str">
        <f>IF(J760&lt;I757,"有效","无效")</f>
        <v>有效</v>
      </c>
      <c r="K761" s="20"/>
      <c r="L761" s="6" t="str">
        <f>IF(R761&lt;=12,"有效","无效")</f>
        <v>有效</v>
      </c>
      <c r="M761" s="31" t="s">
        <v>1422</v>
      </c>
      <c r="N761" s="32"/>
      <c r="O761" s="32"/>
      <c r="P761" s="32"/>
      <c r="Q761" s="33"/>
      <c r="R761" s="10">
        <f>LEN(M761)</f>
        <v>6</v>
      </c>
      <c r="S761" s="10">
        <f>MOD(R761,2)*4+FLOOR(R761/2,1)*6</f>
        <v>18</v>
      </c>
      <c r="T761" s="12" t="str">
        <f>IF(T760&lt;I757,"有效","无效")</f>
        <v>有效</v>
      </c>
    </row>
    <row r="762" spans="1:20" ht="20" customHeight="1">
      <c r="A762" s="22">
        <v>153</v>
      </c>
      <c r="B762" s="23" t="s">
        <v>248</v>
      </c>
      <c r="C762" s="24" t="s">
        <v>247</v>
      </c>
      <c r="D762" s="14">
        <f>LEN($B762)</f>
        <v>3</v>
      </c>
      <c r="E762" s="14">
        <f>LEN(C762)+3</f>
        <v>5</v>
      </c>
      <c r="F762" s="14">
        <f>MOD(D762,2)*4+FLOOR(D762/2,1)*6</f>
        <v>10</v>
      </c>
      <c r="G762" s="14">
        <f>MOD(E762,2)*4+FLOOR(E762/2,1)*6</f>
        <v>16</v>
      </c>
      <c r="H762" s="14">
        <v>12</v>
      </c>
      <c r="I762" s="14">
        <f>108-H762-G762-F762</f>
        <v>70</v>
      </c>
    </row>
    <row r="763" spans="1:20" ht="20" customHeight="1">
      <c r="A763" s="22"/>
      <c r="B763" s="6" t="str">
        <f>IF(H763&lt;=12,"有效","无效")</f>
        <v>有效</v>
      </c>
      <c r="C763" s="31" t="s">
        <v>1423</v>
      </c>
      <c r="D763" s="32"/>
      <c r="E763" s="32"/>
      <c r="F763" s="32"/>
      <c r="G763" s="33"/>
      <c r="H763" s="4">
        <f>LEN(C763)</f>
        <v>4</v>
      </c>
      <c r="I763" s="11">
        <f>MOD(H763,2)*4+FLOOR(H763/2,1)*6</f>
        <v>12</v>
      </c>
      <c r="J763" s="12">
        <f>I763+I764</f>
        <v>42</v>
      </c>
      <c r="K763" s="20"/>
      <c r="L763" s="13" t="str">
        <f>IF(R763&lt;=12,"有效","无效")</f>
        <v>有效</v>
      </c>
      <c r="M763" s="32" t="s">
        <v>2321</v>
      </c>
      <c r="N763" s="32"/>
      <c r="O763" s="32"/>
      <c r="P763" s="32"/>
      <c r="Q763" s="33"/>
      <c r="R763" s="10">
        <f>LEN(M763)</f>
        <v>8</v>
      </c>
      <c r="S763" s="10">
        <f>MOD(R763,2)*4+FLOOR(R763/2,1)*6</f>
        <v>24</v>
      </c>
      <c r="T763" s="12">
        <f>S763+S764</f>
        <v>52</v>
      </c>
    </row>
    <row r="764" spans="1:20" ht="20" customHeight="1">
      <c r="A764" s="22"/>
      <c r="B764" s="6" t="str">
        <f>IF(H764&lt;=12,"有效","无效")</f>
        <v>有效</v>
      </c>
      <c r="C764" s="31" t="s">
        <v>1424</v>
      </c>
      <c r="D764" s="32"/>
      <c r="E764" s="32"/>
      <c r="F764" s="32"/>
      <c r="G764" s="33"/>
      <c r="H764" s="4">
        <f>LEN(C764)</f>
        <v>10</v>
      </c>
      <c r="I764" s="11">
        <f>MOD(H764,2)*4+FLOOR(H764/2,1)*6</f>
        <v>30</v>
      </c>
      <c r="J764" s="12" t="str">
        <f>IF(J763&lt;I762,"有效","无效")</f>
        <v>有效</v>
      </c>
      <c r="K764" s="20"/>
      <c r="L764" s="6" t="str">
        <f>IF(R764&lt;=12,"有效","无效")</f>
        <v>有效</v>
      </c>
      <c r="M764" s="31" t="s">
        <v>1427</v>
      </c>
      <c r="N764" s="32"/>
      <c r="O764" s="32"/>
      <c r="P764" s="32"/>
      <c r="Q764" s="33"/>
      <c r="R764" s="10">
        <f>LEN(M764)</f>
        <v>9</v>
      </c>
      <c r="S764" s="10">
        <f>MOD(R764,2)*4+FLOOR(R764/2,1)*6</f>
        <v>28</v>
      </c>
      <c r="T764" s="12" t="str">
        <f>IF(T763&lt;I762,"有效","无效")</f>
        <v>有效</v>
      </c>
    </row>
    <row r="765" spans="1:20" ht="20" customHeight="1">
      <c r="A765" s="22"/>
      <c r="B765" s="6" t="str">
        <f>IF(H765&lt;=12,"有效","无效")</f>
        <v>有效</v>
      </c>
      <c r="C765" s="31" t="s">
        <v>1425</v>
      </c>
      <c r="D765" s="32"/>
      <c r="E765" s="32"/>
      <c r="F765" s="32"/>
      <c r="G765" s="33"/>
      <c r="H765" s="4">
        <f>LEN(C765)</f>
        <v>10</v>
      </c>
      <c r="I765" s="11">
        <f>MOD(H765,2)*4+FLOOR(H765/2,1)*6</f>
        <v>30</v>
      </c>
      <c r="J765" s="12">
        <f>I765+I766</f>
        <v>64</v>
      </c>
      <c r="K765" s="20"/>
      <c r="L765" s="6" t="str">
        <f>IF(R765&lt;=12,"有效","无效")</f>
        <v>有效</v>
      </c>
      <c r="M765" s="31" t="s">
        <v>2323</v>
      </c>
      <c r="N765" s="32"/>
      <c r="O765" s="32"/>
      <c r="P765" s="32"/>
      <c r="Q765" s="33"/>
      <c r="R765" s="10">
        <f>LEN(M765)</f>
        <v>6</v>
      </c>
      <c r="S765" s="10">
        <f>MOD(R765,2)*4+FLOOR(R765/2,1)*6</f>
        <v>18</v>
      </c>
      <c r="T765" s="12">
        <f>S765+S766</f>
        <v>28</v>
      </c>
    </row>
    <row r="766" spans="1:20" ht="20" customHeight="1">
      <c r="A766" s="22"/>
      <c r="B766" s="6" t="str">
        <f>IF(H766&lt;=12,"有效","无效")</f>
        <v>有效</v>
      </c>
      <c r="C766" s="31" t="s">
        <v>1426</v>
      </c>
      <c r="D766" s="32"/>
      <c r="E766" s="32"/>
      <c r="F766" s="32"/>
      <c r="G766" s="33"/>
      <c r="H766" s="4">
        <f>LEN(C766)</f>
        <v>11</v>
      </c>
      <c r="I766" s="11">
        <f>MOD(H766,2)*4+FLOOR(H766/2,1)*6</f>
        <v>34</v>
      </c>
      <c r="J766" s="12" t="str">
        <f>IF(J765&lt;I762,"有效","无效")</f>
        <v>有效</v>
      </c>
      <c r="K766" s="20"/>
      <c r="L766" s="6" t="str">
        <f>IF(R766&lt;=12,"有效","无效")</f>
        <v>有效</v>
      </c>
      <c r="M766" s="31" t="s">
        <v>2322</v>
      </c>
      <c r="N766" s="32"/>
      <c r="O766" s="32"/>
      <c r="P766" s="32"/>
      <c r="Q766" s="33"/>
      <c r="R766" s="10">
        <f>LEN(M766)</f>
        <v>3</v>
      </c>
      <c r="S766" s="10">
        <f>MOD(R766,2)*4+FLOOR(R766/2,1)*6</f>
        <v>10</v>
      </c>
      <c r="T766" s="12" t="str">
        <f>IF(T765&lt;I762,"有效","无效")</f>
        <v>有效</v>
      </c>
    </row>
    <row r="767" spans="1:20" ht="20" customHeight="1">
      <c r="A767" s="22">
        <v>154</v>
      </c>
      <c r="B767" s="23" t="s">
        <v>249</v>
      </c>
      <c r="C767" s="24" t="s">
        <v>250</v>
      </c>
      <c r="D767" s="14">
        <f>LEN($B767)</f>
        <v>3</v>
      </c>
      <c r="E767" s="14">
        <f>LEN(C767)+3</f>
        <v>5</v>
      </c>
      <c r="F767" s="14">
        <f>MOD(D767,2)*4+FLOOR(D767/2,1)*6</f>
        <v>10</v>
      </c>
      <c r="G767" s="14">
        <f>MOD(E767,2)*4+FLOOR(E767/2,1)*6</f>
        <v>16</v>
      </c>
      <c r="H767" s="14">
        <v>12</v>
      </c>
      <c r="I767" s="14">
        <f>108-H767-G767-F767</f>
        <v>70</v>
      </c>
    </row>
    <row r="768" spans="1:20" ht="20" customHeight="1">
      <c r="A768" s="22"/>
      <c r="B768" s="6" t="str">
        <f>IF(H768&lt;=12,"有效","无效")</f>
        <v>有效</v>
      </c>
      <c r="C768" s="31" t="s">
        <v>1428</v>
      </c>
      <c r="D768" s="32"/>
      <c r="E768" s="32"/>
      <c r="F768" s="32"/>
      <c r="G768" s="33"/>
      <c r="H768" s="4">
        <f>LEN(C768)</f>
        <v>3</v>
      </c>
      <c r="I768" s="11">
        <f>MOD(H768,2)*4+FLOOR(H768/2,1)*6</f>
        <v>10</v>
      </c>
      <c r="J768" s="12">
        <f>I768+I769</f>
        <v>32</v>
      </c>
      <c r="K768" s="20"/>
      <c r="L768" s="13" t="str">
        <f>IF(R768&lt;=12,"有效","无效")</f>
        <v>有效</v>
      </c>
      <c r="M768" s="32" t="s">
        <v>1432</v>
      </c>
      <c r="N768" s="32"/>
      <c r="O768" s="32"/>
      <c r="P768" s="32"/>
      <c r="Q768" s="33"/>
      <c r="R768" s="10">
        <f>LEN(M768)</f>
        <v>6</v>
      </c>
      <c r="S768" s="10">
        <f>MOD(R768,2)*4+FLOOR(R768/2,1)*6</f>
        <v>18</v>
      </c>
      <c r="T768" s="12">
        <f>S768+S769</f>
        <v>36</v>
      </c>
    </row>
    <row r="769" spans="1:20" ht="20" customHeight="1">
      <c r="A769" s="22"/>
      <c r="B769" s="6" t="str">
        <f>IF(H769&lt;=12,"有效","无效")</f>
        <v>有效</v>
      </c>
      <c r="C769" s="31" t="s">
        <v>1429</v>
      </c>
      <c r="D769" s="32"/>
      <c r="E769" s="32"/>
      <c r="F769" s="32"/>
      <c r="G769" s="33"/>
      <c r="H769" s="4">
        <f>LEN(C769)</f>
        <v>7</v>
      </c>
      <c r="I769" s="11">
        <f>MOD(H769,2)*4+FLOOR(H769/2,1)*6</f>
        <v>22</v>
      </c>
      <c r="J769" s="12" t="str">
        <f>IF(J768&lt;I767,"有效","无效")</f>
        <v>有效</v>
      </c>
      <c r="K769" s="20"/>
      <c r="L769" s="6" t="str">
        <f>IF(R769&lt;=12,"有效","无效")</f>
        <v>有效</v>
      </c>
      <c r="M769" s="31" t="s">
        <v>1433</v>
      </c>
      <c r="N769" s="32"/>
      <c r="O769" s="32"/>
      <c r="P769" s="32"/>
      <c r="Q769" s="33"/>
      <c r="R769" s="10">
        <f>LEN(M769)</f>
        <v>6</v>
      </c>
      <c r="S769" s="10">
        <f>MOD(R769,2)*4+FLOOR(R769/2,1)*6</f>
        <v>18</v>
      </c>
      <c r="T769" s="12" t="str">
        <f>IF(T768&lt;I767,"有效","无效")</f>
        <v>有效</v>
      </c>
    </row>
    <row r="770" spans="1:20" ht="20" customHeight="1">
      <c r="A770" s="22"/>
      <c r="B770" s="6" t="str">
        <f>IF(H770&lt;=12,"有效","无效")</f>
        <v>有效</v>
      </c>
      <c r="C770" s="31" t="s">
        <v>1430</v>
      </c>
      <c r="D770" s="32"/>
      <c r="E770" s="32"/>
      <c r="F770" s="32"/>
      <c r="G770" s="33"/>
      <c r="H770" s="4">
        <f>LEN(C770)</f>
        <v>6</v>
      </c>
      <c r="I770" s="11">
        <f>MOD(H770,2)*4+FLOOR(H770/2,1)*6</f>
        <v>18</v>
      </c>
      <c r="J770" s="12">
        <f>I770+I771</f>
        <v>42</v>
      </c>
      <c r="K770" s="20"/>
      <c r="L770" s="6" t="str">
        <f>IF(R770&lt;=12,"有效","无效")</f>
        <v>有效</v>
      </c>
      <c r="M770" s="31" t="s">
        <v>1434</v>
      </c>
      <c r="N770" s="32"/>
      <c r="O770" s="32"/>
      <c r="P770" s="32"/>
      <c r="Q770" s="33"/>
      <c r="R770" s="10">
        <f>LEN(M770)</f>
        <v>7</v>
      </c>
      <c r="S770" s="10">
        <f>MOD(R770,2)*4+FLOOR(R770/2,1)*6</f>
        <v>22</v>
      </c>
      <c r="T770" s="12">
        <f>S770+S771</f>
        <v>40</v>
      </c>
    </row>
    <row r="771" spans="1:20" ht="20" customHeight="1">
      <c r="A771" s="22"/>
      <c r="B771" s="6" t="str">
        <f>IF(H771&lt;=12,"有效","无效")</f>
        <v>有效</v>
      </c>
      <c r="C771" s="31" t="s">
        <v>1431</v>
      </c>
      <c r="D771" s="32"/>
      <c r="E771" s="32"/>
      <c r="F771" s="32"/>
      <c r="G771" s="33"/>
      <c r="H771" s="4">
        <f>LEN(C771)</f>
        <v>8</v>
      </c>
      <c r="I771" s="11">
        <f>MOD(H771,2)*4+FLOOR(H771/2,1)*6</f>
        <v>24</v>
      </c>
      <c r="J771" s="12" t="str">
        <f>IF(J770&lt;I767,"有效","无效")</f>
        <v>有效</v>
      </c>
      <c r="K771" s="20"/>
      <c r="L771" s="6" t="str">
        <f>IF(R771&lt;=12,"有效","无效")</f>
        <v>有效</v>
      </c>
      <c r="M771" s="31" t="s">
        <v>1435</v>
      </c>
      <c r="N771" s="32"/>
      <c r="O771" s="32"/>
      <c r="P771" s="32"/>
      <c r="Q771" s="33"/>
      <c r="R771" s="10">
        <f>LEN(M771)</f>
        <v>6</v>
      </c>
      <c r="S771" s="10">
        <f>MOD(R771,2)*4+FLOOR(R771/2,1)*6</f>
        <v>18</v>
      </c>
      <c r="T771" s="12" t="str">
        <f>IF(T770&lt;I767,"有效","无效")</f>
        <v>有效</v>
      </c>
    </row>
    <row r="772" spans="1:20" ht="20" customHeight="1">
      <c r="A772" s="22">
        <v>155</v>
      </c>
      <c r="B772" s="23" t="s">
        <v>251</v>
      </c>
      <c r="C772" s="24" t="s">
        <v>252</v>
      </c>
      <c r="D772" s="14">
        <f>LEN($B772)</f>
        <v>3</v>
      </c>
      <c r="E772" s="14">
        <f>LEN(C772)+3</f>
        <v>5</v>
      </c>
      <c r="F772" s="14">
        <f>MOD(D772,2)*4+FLOOR(D772/2,1)*6</f>
        <v>10</v>
      </c>
      <c r="G772" s="14">
        <f>MOD(E772,2)*4+FLOOR(E772/2,1)*6</f>
        <v>16</v>
      </c>
      <c r="H772" s="14">
        <v>12</v>
      </c>
      <c r="I772" s="14">
        <f>108-H772-G772-F772</f>
        <v>70</v>
      </c>
    </row>
    <row r="773" spans="1:20" ht="20" customHeight="1">
      <c r="A773" s="22"/>
      <c r="B773" s="6" t="str">
        <f>IF(H773&lt;=12,"有效","无效")</f>
        <v>有效</v>
      </c>
      <c r="C773" s="31" t="s">
        <v>1436</v>
      </c>
      <c r="D773" s="32"/>
      <c r="E773" s="32"/>
      <c r="F773" s="32"/>
      <c r="G773" s="33"/>
      <c r="H773" s="4">
        <f>LEN(C773)</f>
        <v>5</v>
      </c>
      <c r="I773" s="11">
        <f>MOD(H773,2)*4+FLOOR(H773/2,1)*6</f>
        <v>16</v>
      </c>
      <c r="J773" s="12">
        <f>I773+I774</f>
        <v>46</v>
      </c>
      <c r="K773" s="20"/>
      <c r="L773" s="13" t="str">
        <f>IF(R773&lt;=12,"有效","无效")</f>
        <v>有效</v>
      </c>
      <c r="M773" s="32" t="s">
        <v>1440</v>
      </c>
      <c r="N773" s="32"/>
      <c r="O773" s="32"/>
      <c r="P773" s="32"/>
      <c r="Q773" s="33"/>
      <c r="R773" s="10">
        <f>LEN(M773)</f>
        <v>9</v>
      </c>
      <c r="S773" s="10">
        <f>MOD(R773,2)*4+FLOOR(R773/2,1)*6</f>
        <v>28</v>
      </c>
      <c r="T773" s="12">
        <f>S773+S774</f>
        <v>58</v>
      </c>
    </row>
    <row r="774" spans="1:20" ht="20" customHeight="1">
      <c r="A774" s="22"/>
      <c r="B774" s="6" t="str">
        <f>IF(H774&lt;=12,"有效","无效")</f>
        <v>有效</v>
      </c>
      <c r="C774" s="31" t="s">
        <v>1437</v>
      </c>
      <c r="D774" s="32"/>
      <c r="E774" s="32"/>
      <c r="F774" s="32"/>
      <c r="G774" s="33"/>
      <c r="H774" s="4">
        <f>LEN(C774)</f>
        <v>10</v>
      </c>
      <c r="I774" s="11">
        <f>MOD(H774,2)*4+FLOOR(H774/2,1)*6</f>
        <v>30</v>
      </c>
      <c r="J774" s="12" t="str">
        <f>IF(J773&lt;I772,"有效","无效")</f>
        <v>有效</v>
      </c>
      <c r="K774" s="20"/>
      <c r="L774" s="6" t="str">
        <f>IF(R774&lt;=12,"有效","无效")</f>
        <v>有效</v>
      </c>
      <c r="M774" s="31" t="s">
        <v>1441</v>
      </c>
      <c r="N774" s="32"/>
      <c r="O774" s="32"/>
      <c r="P774" s="32"/>
      <c r="Q774" s="33"/>
      <c r="R774" s="10">
        <f>LEN(M774)</f>
        <v>10</v>
      </c>
      <c r="S774" s="10">
        <f>MOD(R774,2)*4+FLOOR(R774/2,1)*6</f>
        <v>30</v>
      </c>
      <c r="T774" s="12" t="str">
        <f>IF(T773&lt;I772,"有效","无效")</f>
        <v>有效</v>
      </c>
    </row>
    <row r="775" spans="1:20" ht="20" customHeight="1">
      <c r="A775" s="22"/>
      <c r="B775" s="6" t="str">
        <f>IF(H775&lt;=12,"有效","无效")</f>
        <v>有效</v>
      </c>
      <c r="C775" s="31" t="s">
        <v>1438</v>
      </c>
      <c r="D775" s="32"/>
      <c r="E775" s="32"/>
      <c r="F775" s="32"/>
      <c r="G775" s="33"/>
      <c r="H775" s="4">
        <f>LEN(C775)</f>
        <v>10</v>
      </c>
      <c r="I775" s="11">
        <f>MOD(H775,2)*4+FLOOR(H775/2,1)*6</f>
        <v>30</v>
      </c>
      <c r="J775" s="12">
        <f>I775+I776</f>
        <v>60</v>
      </c>
      <c r="K775" s="20"/>
      <c r="L775" s="6" t="str">
        <f>IF(R775&lt;=12,"有效","无效")</f>
        <v>有效</v>
      </c>
      <c r="M775" s="31" t="s">
        <v>1442</v>
      </c>
      <c r="N775" s="32"/>
      <c r="O775" s="32"/>
      <c r="P775" s="32"/>
      <c r="Q775" s="33"/>
      <c r="R775" s="10">
        <f>LEN(M775)</f>
        <v>4</v>
      </c>
      <c r="S775" s="10">
        <f>MOD(R775,2)*4+FLOOR(R775/2,1)*6</f>
        <v>12</v>
      </c>
      <c r="T775" s="12">
        <f>S775+S776</f>
        <v>28</v>
      </c>
    </row>
    <row r="776" spans="1:20" ht="20" customHeight="1">
      <c r="A776" s="22"/>
      <c r="B776" s="6" t="str">
        <f>IF(H776&lt;=12,"有效","无效")</f>
        <v>有效</v>
      </c>
      <c r="C776" s="31" t="s">
        <v>1439</v>
      </c>
      <c r="D776" s="32"/>
      <c r="E776" s="32"/>
      <c r="F776" s="32"/>
      <c r="G776" s="33"/>
      <c r="H776" s="4">
        <f>LEN(C776)</f>
        <v>10</v>
      </c>
      <c r="I776" s="11">
        <f>MOD(H776,2)*4+FLOOR(H776/2,1)*6</f>
        <v>30</v>
      </c>
      <c r="J776" s="12" t="str">
        <f>IF(J775&lt;I772,"有效","无效")</f>
        <v>有效</v>
      </c>
      <c r="K776" s="20"/>
      <c r="L776" s="6" t="str">
        <f>IF(R776&lt;=12,"有效","无效")</f>
        <v>有效</v>
      </c>
      <c r="M776" s="31" t="s">
        <v>1443</v>
      </c>
      <c r="N776" s="32"/>
      <c r="O776" s="32"/>
      <c r="P776" s="32"/>
      <c r="Q776" s="33"/>
      <c r="R776" s="10">
        <f>LEN(M776)</f>
        <v>5</v>
      </c>
      <c r="S776" s="10">
        <f>MOD(R776,2)*4+FLOOR(R776/2,1)*6</f>
        <v>16</v>
      </c>
      <c r="T776" s="12" t="str">
        <f>IF(T775&lt;I772,"有效","无效")</f>
        <v>有效</v>
      </c>
    </row>
    <row r="777" spans="1:20" ht="20" customHeight="1">
      <c r="A777" s="22">
        <v>156</v>
      </c>
      <c r="B777" s="23" t="s">
        <v>253</v>
      </c>
      <c r="C777" s="24" t="s">
        <v>254</v>
      </c>
      <c r="D777" s="14">
        <f>LEN($B777)</f>
        <v>3</v>
      </c>
      <c r="E777" s="14">
        <f>LEN(C777)+3</f>
        <v>5</v>
      </c>
      <c r="F777" s="14">
        <f>MOD(D777,2)*4+FLOOR(D777/2,1)*6</f>
        <v>10</v>
      </c>
      <c r="G777" s="14">
        <f>MOD(E777,2)*4+FLOOR(E777/2,1)*6</f>
        <v>16</v>
      </c>
      <c r="H777" s="14">
        <v>12</v>
      </c>
      <c r="I777" s="14">
        <f>108-H777-G777-F777</f>
        <v>70</v>
      </c>
    </row>
    <row r="778" spans="1:20" ht="20" customHeight="1">
      <c r="A778" s="22"/>
      <c r="B778" s="6" t="str">
        <f>IF(H778&lt;=12,"有效","无效")</f>
        <v>有效</v>
      </c>
      <c r="C778" s="31" t="s">
        <v>1444</v>
      </c>
      <c r="D778" s="32"/>
      <c r="E778" s="32"/>
      <c r="F778" s="32"/>
      <c r="G778" s="33"/>
      <c r="H778" s="4">
        <f>LEN(C778)</f>
        <v>12</v>
      </c>
      <c r="I778" s="11">
        <f>MOD(H778,2)*4+FLOOR(H778/2,1)*6</f>
        <v>36</v>
      </c>
      <c r="J778" s="12">
        <f>I778+I779</f>
        <v>58</v>
      </c>
      <c r="K778" s="20"/>
      <c r="L778" s="13" t="str">
        <f>IF(R778&lt;=12,"有效","无效")</f>
        <v>有效</v>
      </c>
      <c r="M778" s="32" t="s">
        <v>1448</v>
      </c>
      <c r="N778" s="32"/>
      <c r="O778" s="32"/>
      <c r="P778" s="32"/>
      <c r="Q778" s="33"/>
      <c r="R778" s="10">
        <f>LEN(M778)</f>
        <v>7</v>
      </c>
      <c r="S778" s="10">
        <f>MOD(R778,2)*4+FLOOR(R778/2,1)*6</f>
        <v>22</v>
      </c>
      <c r="T778" s="12">
        <f>S778+S779</f>
        <v>44</v>
      </c>
    </row>
    <row r="779" spans="1:20" ht="20" customHeight="1">
      <c r="A779" s="22"/>
      <c r="B779" s="6" t="str">
        <f>IF(H779&lt;=12,"有效","无效")</f>
        <v>有效</v>
      </c>
      <c r="C779" s="31" t="s">
        <v>1445</v>
      </c>
      <c r="D779" s="32"/>
      <c r="E779" s="32"/>
      <c r="F779" s="32"/>
      <c r="G779" s="33"/>
      <c r="H779" s="4">
        <f>LEN(C779)</f>
        <v>7</v>
      </c>
      <c r="I779" s="11">
        <f>MOD(H779,2)*4+FLOOR(H779/2,1)*6</f>
        <v>22</v>
      </c>
      <c r="J779" s="12" t="str">
        <f>IF(J778&lt;I777,"有效","无效")</f>
        <v>有效</v>
      </c>
      <c r="K779" s="20"/>
      <c r="L779" s="6" t="str">
        <f>IF(R779&lt;=12,"有效","无效")</f>
        <v>有效</v>
      </c>
      <c r="M779" s="31" t="s">
        <v>1449</v>
      </c>
      <c r="N779" s="32"/>
      <c r="O779" s="32"/>
      <c r="P779" s="32"/>
      <c r="Q779" s="33"/>
      <c r="R779" s="10">
        <f>LEN(M779)</f>
        <v>7</v>
      </c>
      <c r="S779" s="10">
        <f>MOD(R779,2)*4+FLOOR(R779/2,1)*6</f>
        <v>22</v>
      </c>
      <c r="T779" s="12" t="str">
        <f>IF(T778&lt;I777,"有效","无效")</f>
        <v>有效</v>
      </c>
    </row>
    <row r="780" spans="1:20" ht="20" customHeight="1">
      <c r="A780" s="22"/>
      <c r="B780" s="6" t="str">
        <f>IF(H780&lt;=12,"有效","无效")</f>
        <v>有效</v>
      </c>
      <c r="C780" s="31" t="s">
        <v>1447</v>
      </c>
      <c r="D780" s="32"/>
      <c r="E780" s="32"/>
      <c r="F780" s="32"/>
      <c r="G780" s="33"/>
      <c r="H780" s="4">
        <f>LEN(C780)</f>
        <v>9</v>
      </c>
      <c r="I780" s="11">
        <f>MOD(H780,2)*4+FLOOR(H780/2,1)*6</f>
        <v>28</v>
      </c>
      <c r="J780" s="12">
        <f>I780+I781</f>
        <v>58</v>
      </c>
      <c r="K780" s="20"/>
      <c r="L780" s="6" t="str">
        <f>IF(R780&lt;=12,"有效","无效")</f>
        <v>有效</v>
      </c>
      <c r="M780" s="31" t="s">
        <v>1450</v>
      </c>
      <c r="N780" s="32"/>
      <c r="O780" s="32"/>
      <c r="P780" s="32"/>
      <c r="Q780" s="33"/>
      <c r="R780" s="10">
        <f>LEN(M780)</f>
        <v>9</v>
      </c>
      <c r="S780" s="10">
        <f>MOD(R780,2)*4+FLOOR(R780/2,1)*6</f>
        <v>28</v>
      </c>
      <c r="T780" s="12">
        <f>S780+S781</f>
        <v>50</v>
      </c>
    </row>
    <row r="781" spans="1:20" ht="20" customHeight="1">
      <c r="A781" s="22"/>
      <c r="B781" s="6" t="str">
        <f>IF(H781&lt;=12,"有效","无效")</f>
        <v>有效</v>
      </c>
      <c r="C781" s="31" t="s">
        <v>1446</v>
      </c>
      <c r="D781" s="32"/>
      <c r="E781" s="32"/>
      <c r="F781" s="32"/>
      <c r="G781" s="33"/>
      <c r="H781" s="4">
        <f>LEN(C781)</f>
        <v>10</v>
      </c>
      <c r="I781" s="11">
        <f>MOD(H781,2)*4+FLOOR(H781/2,1)*6</f>
        <v>30</v>
      </c>
      <c r="J781" s="12" t="str">
        <f>IF(J780&lt;I777,"有效","无效")</f>
        <v>有效</v>
      </c>
      <c r="K781" s="20"/>
      <c r="L781" s="6" t="str">
        <f>IF(R781&lt;=12,"有效","无效")</f>
        <v>有效</v>
      </c>
      <c r="M781" s="31" t="s">
        <v>1451</v>
      </c>
      <c r="N781" s="32"/>
      <c r="O781" s="32"/>
      <c r="P781" s="32"/>
      <c r="Q781" s="33"/>
      <c r="R781" s="10">
        <f>LEN(M781)</f>
        <v>7</v>
      </c>
      <c r="S781" s="10">
        <f>MOD(R781,2)*4+FLOOR(R781/2,1)*6</f>
        <v>22</v>
      </c>
      <c r="T781" s="12" t="str">
        <f>IF(T780&lt;I777,"有效","无效")</f>
        <v>有效</v>
      </c>
    </row>
    <row r="782" spans="1:20" ht="20" customHeight="1">
      <c r="A782" s="22">
        <v>157</v>
      </c>
      <c r="B782" s="23" t="s">
        <v>255</v>
      </c>
      <c r="C782" s="24" t="s">
        <v>254</v>
      </c>
      <c r="D782" s="14">
        <f>LEN($B782)</f>
        <v>3</v>
      </c>
      <c r="E782" s="14">
        <f>LEN(C782)+3</f>
        <v>5</v>
      </c>
      <c r="F782" s="14">
        <f>MOD(D782,2)*4+FLOOR(D782/2,1)*6</f>
        <v>10</v>
      </c>
      <c r="G782" s="14">
        <f>MOD(E782,2)*4+FLOOR(E782/2,1)*6</f>
        <v>16</v>
      </c>
      <c r="H782" s="14">
        <v>12</v>
      </c>
      <c r="I782" s="14">
        <f>108-H782-G782-F782</f>
        <v>70</v>
      </c>
    </row>
    <row r="783" spans="1:20" ht="20" customHeight="1">
      <c r="A783" s="22"/>
      <c r="B783" s="6" t="str">
        <f>IF(H783&lt;=12,"有效","无效")</f>
        <v>有效</v>
      </c>
      <c r="C783" s="31" t="s">
        <v>2172</v>
      </c>
      <c r="D783" s="32"/>
      <c r="E783" s="32"/>
      <c r="F783" s="32"/>
      <c r="G783" s="33"/>
      <c r="H783" s="4">
        <f>LEN(C783)</f>
        <v>3</v>
      </c>
      <c r="I783" s="11">
        <f>MOD(H783,2)*4+FLOOR(H783/2,1)*6</f>
        <v>10</v>
      </c>
      <c r="J783" s="12">
        <f>I783+I784</f>
        <v>22</v>
      </c>
      <c r="K783" s="20"/>
      <c r="L783" s="13" t="str">
        <f>IF(R783&lt;=12,"有效","无效")</f>
        <v>有效</v>
      </c>
      <c r="M783" s="32" t="s">
        <v>1452</v>
      </c>
      <c r="N783" s="32"/>
      <c r="O783" s="32"/>
      <c r="P783" s="32"/>
      <c r="Q783" s="33"/>
      <c r="R783" s="10">
        <f>LEN(M783)</f>
        <v>10</v>
      </c>
      <c r="S783" s="10">
        <f>MOD(R783,2)*4+FLOOR(R783/2,1)*6</f>
        <v>30</v>
      </c>
      <c r="T783" s="12">
        <f>S783+S784</f>
        <v>66</v>
      </c>
    </row>
    <row r="784" spans="1:20" ht="20" customHeight="1">
      <c r="A784" s="22"/>
      <c r="B784" s="6" t="str">
        <f>IF(H784&lt;=12,"有效","无效")</f>
        <v>有效</v>
      </c>
      <c r="C784" s="31" t="s">
        <v>2173</v>
      </c>
      <c r="D784" s="32"/>
      <c r="E784" s="32"/>
      <c r="F784" s="32"/>
      <c r="G784" s="33"/>
      <c r="H784" s="4">
        <f>LEN(C784)</f>
        <v>4</v>
      </c>
      <c r="I784" s="11">
        <f>MOD(H784,2)*4+FLOOR(H784/2,1)*6</f>
        <v>12</v>
      </c>
      <c r="J784" s="12" t="str">
        <f>IF(J783&lt;I782,"有效","无效")</f>
        <v>有效</v>
      </c>
      <c r="K784" s="20"/>
      <c r="L784" s="6" t="str">
        <f>IF(R784&lt;=12,"有效","无效")</f>
        <v>有效</v>
      </c>
      <c r="M784" s="31" t="s">
        <v>2324</v>
      </c>
      <c r="N784" s="32"/>
      <c r="O784" s="32"/>
      <c r="P784" s="32"/>
      <c r="Q784" s="33"/>
      <c r="R784" s="10">
        <f>LEN(M784)</f>
        <v>12</v>
      </c>
      <c r="S784" s="10">
        <f>MOD(R784,2)*4+FLOOR(R784/2,1)*6</f>
        <v>36</v>
      </c>
      <c r="T784" s="12" t="str">
        <f>IF(T783&lt;I782,"有效","无效")</f>
        <v>有效</v>
      </c>
    </row>
    <row r="785" spans="1:20" ht="20" customHeight="1">
      <c r="A785" s="22"/>
      <c r="B785" s="6" t="str">
        <f>IF(H785&lt;=12,"有效","无效")</f>
        <v>有效</v>
      </c>
      <c r="C785" s="31" t="s">
        <v>2174</v>
      </c>
      <c r="D785" s="32"/>
      <c r="E785" s="32"/>
      <c r="F785" s="32"/>
      <c r="G785" s="33"/>
      <c r="H785" s="4">
        <f>LEN(C785)</f>
        <v>8</v>
      </c>
      <c r="I785" s="11">
        <f>MOD(H785,2)*4+FLOOR(H785/2,1)*6</f>
        <v>24</v>
      </c>
      <c r="J785" s="12">
        <f>I785+I786</f>
        <v>52</v>
      </c>
      <c r="K785" s="20"/>
      <c r="L785" s="6" t="str">
        <f>IF(R785&lt;=12,"有效","无效")</f>
        <v>有效</v>
      </c>
      <c r="M785" s="31" t="s">
        <v>2326</v>
      </c>
      <c r="N785" s="32"/>
      <c r="O785" s="32"/>
      <c r="P785" s="32"/>
      <c r="Q785" s="33"/>
      <c r="R785" s="10">
        <f>LEN(M785)</f>
        <v>6</v>
      </c>
      <c r="S785" s="10">
        <f>MOD(R785,2)*4+FLOOR(R785/2,1)*6</f>
        <v>18</v>
      </c>
      <c r="T785" s="12">
        <f>S785+S786</f>
        <v>34</v>
      </c>
    </row>
    <row r="786" spans="1:20" ht="20" customHeight="1">
      <c r="A786" s="22"/>
      <c r="B786" s="6" t="str">
        <f>IF(H786&lt;=12,"有效","无效")</f>
        <v>有效</v>
      </c>
      <c r="C786" s="31" t="s">
        <v>2175</v>
      </c>
      <c r="D786" s="32"/>
      <c r="E786" s="32"/>
      <c r="F786" s="32"/>
      <c r="G786" s="33"/>
      <c r="H786" s="4">
        <f>LEN(C786)</f>
        <v>9</v>
      </c>
      <c r="I786" s="11">
        <f>MOD(H786,2)*4+FLOOR(H786/2,1)*6</f>
        <v>28</v>
      </c>
      <c r="J786" s="12" t="str">
        <f>IF(J785&lt;I782,"有效","无效")</f>
        <v>有效</v>
      </c>
      <c r="K786" s="20"/>
      <c r="L786" s="6" t="str">
        <f>IF(R786&lt;=12,"有效","无效")</f>
        <v>有效</v>
      </c>
      <c r="M786" s="31" t="s">
        <v>2325</v>
      </c>
      <c r="N786" s="32"/>
      <c r="O786" s="32"/>
      <c r="P786" s="32"/>
      <c r="Q786" s="33"/>
      <c r="R786" s="10">
        <f>LEN(M786)</f>
        <v>5</v>
      </c>
      <c r="S786" s="10">
        <f>MOD(R786,2)*4+FLOOR(R786/2,1)*6</f>
        <v>16</v>
      </c>
      <c r="T786" s="12" t="str">
        <f>IF(T785&lt;I782,"有效","无效")</f>
        <v>有效</v>
      </c>
    </row>
    <row r="787" spans="1:20" ht="20" customHeight="1">
      <c r="A787" s="22">
        <v>158</v>
      </c>
      <c r="B787" s="23" t="s">
        <v>256</v>
      </c>
      <c r="C787" s="24" t="s">
        <v>257</v>
      </c>
      <c r="D787" s="14">
        <f>LEN($B787)</f>
        <v>3</v>
      </c>
      <c r="E787" s="14">
        <f>LEN(C787)+3</f>
        <v>5</v>
      </c>
      <c r="F787" s="14">
        <f>MOD(D787,2)*4+FLOOR(D787/2,1)*6</f>
        <v>10</v>
      </c>
      <c r="G787" s="14">
        <f>MOD(E787,2)*4+FLOOR(E787/2,1)*6</f>
        <v>16</v>
      </c>
      <c r="H787" s="14">
        <v>12</v>
      </c>
      <c r="I787" s="14">
        <f>108-H787-G787-F787</f>
        <v>70</v>
      </c>
    </row>
    <row r="788" spans="1:20" ht="20" customHeight="1">
      <c r="A788" s="22"/>
      <c r="B788" s="6" t="str">
        <f>IF(H788&lt;=12,"有效","无效")</f>
        <v>有效</v>
      </c>
      <c r="C788" s="31" t="s">
        <v>1453</v>
      </c>
      <c r="D788" s="32"/>
      <c r="E788" s="32"/>
      <c r="F788" s="32"/>
      <c r="G788" s="33"/>
      <c r="H788" s="4">
        <f>LEN(C788)</f>
        <v>7</v>
      </c>
      <c r="I788" s="11">
        <f>MOD(H788,2)*4+FLOOR(H788/2,1)*6</f>
        <v>22</v>
      </c>
      <c r="J788" s="12">
        <f>I788+I789</f>
        <v>56</v>
      </c>
      <c r="K788" s="20"/>
      <c r="L788" s="13" t="str">
        <f>IF(R788&lt;=12,"有效","无效")</f>
        <v>有效</v>
      </c>
      <c r="M788" s="32" t="s">
        <v>1457</v>
      </c>
      <c r="N788" s="32"/>
      <c r="O788" s="32"/>
      <c r="P788" s="32"/>
      <c r="Q788" s="33"/>
      <c r="R788" s="10">
        <f>LEN(M788)</f>
        <v>5</v>
      </c>
      <c r="S788" s="10">
        <f>MOD(R788,2)*4+FLOOR(R788/2,1)*6</f>
        <v>16</v>
      </c>
      <c r="T788" s="12">
        <f>S788+S789</f>
        <v>44</v>
      </c>
    </row>
    <row r="789" spans="1:20" ht="20" customHeight="1">
      <c r="A789" s="22"/>
      <c r="B789" s="6" t="str">
        <f>IF(H789&lt;=12,"有效","无效")</f>
        <v>有效</v>
      </c>
      <c r="C789" s="31" t="s">
        <v>1454</v>
      </c>
      <c r="D789" s="32"/>
      <c r="E789" s="32"/>
      <c r="F789" s="32"/>
      <c r="G789" s="33"/>
      <c r="H789" s="4">
        <f>LEN(C789)</f>
        <v>11</v>
      </c>
      <c r="I789" s="11">
        <f>MOD(H789,2)*4+FLOOR(H789/2,1)*6</f>
        <v>34</v>
      </c>
      <c r="J789" s="12" t="str">
        <f>IF(J788&lt;I787,"有效","无效")</f>
        <v>有效</v>
      </c>
      <c r="K789" s="20"/>
      <c r="L789" s="6" t="str">
        <f>IF(R789&lt;=12,"有效","无效")</f>
        <v>有效</v>
      </c>
      <c r="M789" s="31" t="s">
        <v>1458</v>
      </c>
      <c r="N789" s="32"/>
      <c r="O789" s="32"/>
      <c r="P789" s="32"/>
      <c r="Q789" s="33"/>
      <c r="R789" s="10">
        <f>LEN(M789)</f>
        <v>9</v>
      </c>
      <c r="S789" s="10">
        <f>MOD(R789,2)*4+FLOOR(R789/2,1)*6</f>
        <v>28</v>
      </c>
      <c r="T789" s="12" t="str">
        <f>IF(T788&lt;I787,"有效","无效")</f>
        <v>有效</v>
      </c>
    </row>
    <row r="790" spans="1:20" ht="20" customHeight="1">
      <c r="A790" s="22"/>
      <c r="B790" s="6" t="str">
        <f>IF(H790&lt;=12,"有效","无效")</f>
        <v>有效</v>
      </c>
      <c r="C790" s="31" t="s">
        <v>1455</v>
      </c>
      <c r="D790" s="32"/>
      <c r="E790" s="32"/>
      <c r="F790" s="32"/>
      <c r="G790" s="33"/>
      <c r="H790" s="4">
        <f>LEN(C790)</f>
        <v>10</v>
      </c>
      <c r="I790" s="11">
        <f>MOD(H790,2)*4+FLOOR(H790/2,1)*6</f>
        <v>30</v>
      </c>
      <c r="J790" s="12">
        <f>I790+I791</f>
        <v>60</v>
      </c>
      <c r="K790" s="20"/>
      <c r="L790" s="6" t="str">
        <f>IF(R790&lt;=12,"有效","无效")</f>
        <v>有效</v>
      </c>
      <c r="M790" s="31" t="s">
        <v>1459</v>
      </c>
      <c r="N790" s="32"/>
      <c r="O790" s="32"/>
      <c r="P790" s="32"/>
      <c r="Q790" s="33"/>
      <c r="R790" s="10">
        <f>LEN(M790)</f>
        <v>10</v>
      </c>
      <c r="S790" s="10">
        <f>MOD(R790,2)*4+FLOOR(R790/2,1)*6</f>
        <v>30</v>
      </c>
      <c r="T790" s="12">
        <f>S790+S791</f>
        <v>64</v>
      </c>
    </row>
    <row r="791" spans="1:20" ht="20" customHeight="1">
      <c r="A791" s="22"/>
      <c r="B791" s="6" t="str">
        <f>IF(H791&lt;=12,"有效","无效")</f>
        <v>有效</v>
      </c>
      <c r="C791" s="31" t="s">
        <v>1456</v>
      </c>
      <c r="D791" s="32"/>
      <c r="E791" s="32"/>
      <c r="F791" s="32"/>
      <c r="G791" s="33"/>
      <c r="H791" s="4">
        <f>LEN(C791)</f>
        <v>10</v>
      </c>
      <c r="I791" s="11">
        <f>MOD(H791,2)*4+FLOOR(H791/2,1)*6</f>
        <v>30</v>
      </c>
      <c r="J791" s="12" t="str">
        <f>IF(J790&lt;I787,"有效","无效")</f>
        <v>有效</v>
      </c>
      <c r="K791" s="20"/>
      <c r="L791" s="6" t="str">
        <f>IF(R791&lt;=12,"有效","无效")</f>
        <v>有效</v>
      </c>
      <c r="M791" s="31" t="s">
        <v>1460</v>
      </c>
      <c r="N791" s="32"/>
      <c r="O791" s="32"/>
      <c r="P791" s="32"/>
      <c r="Q791" s="33"/>
      <c r="R791" s="10">
        <f>LEN(M791)</f>
        <v>11</v>
      </c>
      <c r="S791" s="10">
        <f>MOD(R791,2)*4+FLOOR(R791/2,1)*6</f>
        <v>34</v>
      </c>
      <c r="T791" s="12" t="str">
        <f>IF(T790&lt;I787,"有效","无效")</f>
        <v>有效</v>
      </c>
    </row>
    <row r="792" spans="1:20" ht="20" customHeight="1">
      <c r="A792" s="22">
        <v>159</v>
      </c>
      <c r="B792" s="23" t="s">
        <v>258</v>
      </c>
      <c r="C792" s="24" t="s">
        <v>257</v>
      </c>
      <c r="D792" s="14">
        <f>LEN($B792)</f>
        <v>2</v>
      </c>
      <c r="E792" s="14">
        <f>LEN(C792)+3</f>
        <v>5</v>
      </c>
      <c r="F792" s="14">
        <f>MOD(D792,2)*4+FLOOR(D792/2,1)*6</f>
        <v>6</v>
      </c>
      <c r="G792" s="14">
        <f>MOD(E792,2)*4+FLOOR(E792/2,1)*6</f>
        <v>16</v>
      </c>
      <c r="H792" s="14">
        <v>12</v>
      </c>
      <c r="I792" s="14">
        <f>108-H792-G792-F792</f>
        <v>74</v>
      </c>
    </row>
    <row r="793" spans="1:20" ht="20" customHeight="1">
      <c r="A793" s="22"/>
      <c r="B793" s="6" t="str">
        <f>IF(H793&lt;=12,"有效","无效")</f>
        <v>有效</v>
      </c>
      <c r="C793" s="31" t="s">
        <v>1461</v>
      </c>
      <c r="D793" s="32"/>
      <c r="E793" s="32"/>
      <c r="F793" s="32"/>
      <c r="G793" s="33"/>
      <c r="H793" s="4">
        <f>LEN(C793)</f>
        <v>6</v>
      </c>
      <c r="I793" s="11">
        <f>MOD(H793,2)*4+FLOOR(H793/2,1)*6</f>
        <v>18</v>
      </c>
      <c r="J793" s="12">
        <f>I793+I794</f>
        <v>52</v>
      </c>
      <c r="K793" s="20"/>
      <c r="L793" s="13" t="str">
        <f>IF(R793&lt;=12,"有效","无效")</f>
        <v>有效</v>
      </c>
      <c r="M793" s="32" t="s">
        <v>2328</v>
      </c>
      <c r="N793" s="32"/>
      <c r="O793" s="32"/>
      <c r="P793" s="32"/>
      <c r="Q793" s="33"/>
      <c r="R793" s="10">
        <f>LEN(M793)</f>
        <v>5</v>
      </c>
      <c r="S793" s="10">
        <f>MOD(R793,2)*4+FLOOR(R793/2,1)*6</f>
        <v>16</v>
      </c>
      <c r="T793" s="12">
        <f>S793+S794</f>
        <v>32</v>
      </c>
    </row>
    <row r="794" spans="1:20" ht="20" customHeight="1">
      <c r="A794" s="22"/>
      <c r="B794" s="6" t="str">
        <f>IF(H794&lt;=12,"有效","无效")</f>
        <v>有效</v>
      </c>
      <c r="C794" s="31" t="s">
        <v>1462</v>
      </c>
      <c r="D794" s="32"/>
      <c r="E794" s="32"/>
      <c r="F794" s="32"/>
      <c r="G794" s="33"/>
      <c r="H794" s="4">
        <f>LEN(C794)</f>
        <v>11</v>
      </c>
      <c r="I794" s="11">
        <f>MOD(H794,2)*4+FLOOR(H794/2,1)*6</f>
        <v>34</v>
      </c>
      <c r="J794" s="12" t="str">
        <f>IF(J793&lt;I792,"有效","无效")</f>
        <v>有效</v>
      </c>
      <c r="K794" s="20"/>
      <c r="L794" s="6" t="str">
        <f>IF(R794&lt;=12,"有效","无效")</f>
        <v>有效</v>
      </c>
      <c r="M794" s="31" t="s">
        <v>2325</v>
      </c>
      <c r="N794" s="32"/>
      <c r="O794" s="32"/>
      <c r="P794" s="32"/>
      <c r="Q794" s="33"/>
      <c r="R794" s="10">
        <f>LEN(M794)</f>
        <v>5</v>
      </c>
      <c r="S794" s="10">
        <f>MOD(R794,2)*4+FLOOR(R794/2,1)*6</f>
        <v>16</v>
      </c>
      <c r="T794" s="12" t="str">
        <f>IF(T793&lt;I792,"有效","无效")</f>
        <v>有效</v>
      </c>
    </row>
    <row r="795" spans="1:20" ht="20" customHeight="1">
      <c r="A795" s="22"/>
      <c r="B795" s="6" t="str">
        <f>IF(H795&lt;=12,"有效","无效")</f>
        <v>有效</v>
      </c>
      <c r="C795" s="31" t="s">
        <v>1463</v>
      </c>
      <c r="D795" s="32"/>
      <c r="E795" s="32"/>
      <c r="F795" s="32"/>
      <c r="G795" s="33"/>
      <c r="H795" s="4">
        <f>LEN(C795)</f>
        <v>7</v>
      </c>
      <c r="I795" s="11">
        <f>MOD(H795,2)*4+FLOOR(H795/2,1)*6</f>
        <v>22</v>
      </c>
      <c r="J795" s="12">
        <f>I795+I796</f>
        <v>40</v>
      </c>
      <c r="K795" s="20"/>
      <c r="L795" s="6" t="str">
        <f>IF(R795&lt;=12,"有效","无效")</f>
        <v>有效</v>
      </c>
      <c r="M795" s="31" t="s">
        <v>2327</v>
      </c>
      <c r="N795" s="32"/>
      <c r="O795" s="32"/>
      <c r="P795" s="32"/>
      <c r="Q795" s="37"/>
      <c r="R795" s="10">
        <f>LEN(M795)</f>
        <v>10</v>
      </c>
      <c r="S795" s="10">
        <f>MOD(R795,2)*4+FLOOR(R795/2,1)*6</f>
        <v>30</v>
      </c>
      <c r="T795" s="12">
        <f>S795+S796</f>
        <v>64</v>
      </c>
    </row>
    <row r="796" spans="1:20" ht="20" customHeight="1">
      <c r="A796" s="22"/>
      <c r="B796" s="6" t="str">
        <f>IF(H796&lt;=12,"有效","无效")</f>
        <v>有效</v>
      </c>
      <c r="C796" s="31" t="s">
        <v>1464</v>
      </c>
      <c r="D796" s="32"/>
      <c r="E796" s="32"/>
      <c r="F796" s="32"/>
      <c r="G796" s="33"/>
      <c r="H796" s="4">
        <f>LEN(C796)</f>
        <v>6</v>
      </c>
      <c r="I796" s="11">
        <f>MOD(H796,2)*4+FLOOR(H796/2,1)*6</f>
        <v>18</v>
      </c>
      <c r="J796" s="12" t="str">
        <f>IF(J795&lt;I792,"有效","无效")</f>
        <v>有效</v>
      </c>
      <c r="K796" s="20"/>
      <c r="L796" s="6" t="str">
        <f>IF(R796&lt;=12,"有效","无效")</f>
        <v>有效</v>
      </c>
      <c r="M796" s="31" t="s">
        <v>1465</v>
      </c>
      <c r="N796" s="32"/>
      <c r="O796" s="32"/>
      <c r="P796" s="32"/>
      <c r="Q796" s="33"/>
      <c r="R796" s="10">
        <f>LEN(M796)</f>
        <v>11</v>
      </c>
      <c r="S796" s="10">
        <f>MOD(R796,2)*4+FLOOR(R796/2,1)*6</f>
        <v>34</v>
      </c>
      <c r="T796" s="12" t="str">
        <f>IF(T795&lt;I792,"有效","无效")</f>
        <v>有效</v>
      </c>
    </row>
    <row r="797" spans="1:20" ht="20" customHeight="1">
      <c r="A797" s="22">
        <v>160</v>
      </c>
      <c r="B797" s="23" t="s">
        <v>259</v>
      </c>
      <c r="C797" s="24" t="s">
        <v>257</v>
      </c>
      <c r="D797" s="14">
        <f>LEN($B797)</f>
        <v>3</v>
      </c>
      <c r="E797" s="14">
        <f>LEN(C797)+3</f>
        <v>5</v>
      </c>
      <c r="F797" s="14">
        <f>MOD(D797,2)*4+FLOOR(D797/2,1)*6</f>
        <v>10</v>
      </c>
      <c r="G797" s="14">
        <f>MOD(E797,2)*4+FLOOR(E797/2,1)*6</f>
        <v>16</v>
      </c>
      <c r="H797" s="14">
        <v>12</v>
      </c>
      <c r="I797" s="14">
        <f>108-H797-G797-F797</f>
        <v>70</v>
      </c>
    </row>
    <row r="798" spans="1:20" ht="20" customHeight="1">
      <c r="A798" s="22"/>
      <c r="B798" s="6" t="str">
        <f>IF(H798&lt;=12,"有效","无效")</f>
        <v>有效</v>
      </c>
      <c r="C798" s="31" t="s">
        <v>1466</v>
      </c>
      <c r="D798" s="32"/>
      <c r="E798" s="32"/>
      <c r="F798" s="32"/>
      <c r="G798" s="33"/>
      <c r="H798" s="4">
        <f>LEN(C798)</f>
        <v>7</v>
      </c>
      <c r="I798" s="11">
        <f>MOD(H798,2)*4+FLOOR(H798/2,1)*6</f>
        <v>22</v>
      </c>
      <c r="J798" s="12">
        <f>I798+I799</f>
        <v>40</v>
      </c>
      <c r="K798" s="20"/>
      <c r="L798" s="13" t="str">
        <f>IF(R798&lt;=12,"有效","无效")</f>
        <v>有效</v>
      </c>
      <c r="M798" s="35" t="s">
        <v>2329</v>
      </c>
      <c r="N798" s="35"/>
      <c r="O798" s="35"/>
      <c r="P798" s="35"/>
      <c r="Q798" s="36"/>
      <c r="R798" s="10">
        <f>LEN(M798)</f>
        <v>12</v>
      </c>
      <c r="S798" s="10">
        <f>MOD(R798,2)*4+FLOOR(R798/2,1)*6</f>
        <v>36</v>
      </c>
      <c r="T798" s="12">
        <f>S798+S799</f>
        <v>58</v>
      </c>
    </row>
    <row r="799" spans="1:20" ht="20" customHeight="1">
      <c r="A799" s="22"/>
      <c r="B799" s="6" t="str">
        <f>IF(H799&lt;=12,"有效","无效")</f>
        <v>有效</v>
      </c>
      <c r="C799" s="31" t="s">
        <v>1467</v>
      </c>
      <c r="D799" s="32"/>
      <c r="E799" s="32"/>
      <c r="F799" s="32"/>
      <c r="G799" s="33"/>
      <c r="H799" s="4">
        <f>LEN(C799)</f>
        <v>6</v>
      </c>
      <c r="I799" s="11">
        <f>MOD(H799,2)*4+FLOOR(H799/2,1)*6</f>
        <v>18</v>
      </c>
      <c r="J799" s="12" t="str">
        <f>IF(J798&lt;I797,"有效","无效")</f>
        <v>有效</v>
      </c>
      <c r="K799" s="20"/>
      <c r="L799" s="6" t="str">
        <f>IF(R799&lt;=12,"有效","无效")</f>
        <v>有效</v>
      </c>
      <c r="M799" s="34" t="s">
        <v>1470</v>
      </c>
      <c r="N799" s="35"/>
      <c r="O799" s="35"/>
      <c r="P799" s="35"/>
      <c r="Q799" s="36"/>
      <c r="R799" s="10">
        <f>LEN(M799)</f>
        <v>7</v>
      </c>
      <c r="S799" s="10">
        <f>MOD(R799,2)*4+FLOOR(R799/2,1)*6</f>
        <v>22</v>
      </c>
      <c r="T799" s="12" t="str">
        <f>IF(T798&lt;I797,"有效","无效")</f>
        <v>有效</v>
      </c>
    </row>
    <row r="800" spans="1:20" ht="20" customHeight="1">
      <c r="A800" s="22"/>
      <c r="B800" s="6" t="str">
        <f>IF(H800&lt;=12,"有效","无效")</f>
        <v>有效</v>
      </c>
      <c r="C800" s="31" t="s">
        <v>1468</v>
      </c>
      <c r="D800" s="32"/>
      <c r="E800" s="32"/>
      <c r="F800" s="32"/>
      <c r="G800" s="33"/>
      <c r="H800" s="4">
        <f>LEN(C800)</f>
        <v>9</v>
      </c>
      <c r="I800" s="11">
        <f>MOD(H800,2)*4+FLOOR(H800/2,1)*6</f>
        <v>28</v>
      </c>
      <c r="J800" s="12">
        <f>I800+I801</f>
        <v>52</v>
      </c>
      <c r="K800" s="20"/>
      <c r="L800" s="6" t="str">
        <f>IF(R800&lt;=12,"有效","无效")</f>
        <v>有效</v>
      </c>
      <c r="M800" s="34" t="s">
        <v>2331</v>
      </c>
      <c r="N800" s="35"/>
      <c r="O800" s="35"/>
      <c r="P800" s="35"/>
      <c r="Q800" s="36"/>
      <c r="R800" s="10">
        <f>LEN(M800)</f>
        <v>6</v>
      </c>
      <c r="S800" s="10">
        <f>MOD(R800,2)*4+FLOOR(R800/2,1)*6</f>
        <v>18</v>
      </c>
      <c r="T800" s="12">
        <f>S800+S801</f>
        <v>30</v>
      </c>
    </row>
    <row r="801" spans="1:20" ht="20" customHeight="1">
      <c r="A801" s="22"/>
      <c r="B801" s="6" t="str">
        <f>IF(H801&lt;=12,"有效","无效")</f>
        <v>有效</v>
      </c>
      <c r="C801" s="31" t="s">
        <v>1469</v>
      </c>
      <c r="D801" s="32"/>
      <c r="E801" s="32"/>
      <c r="F801" s="32"/>
      <c r="G801" s="33"/>
      <c r="H801" s="4">
        <f>LEN(C801)</f>
        <v>8</v>
      </c>
      <c r="I801" s="11">
        <f>MOD(H801,2)*4+FLOOR(H801/2,1)*6</f>
        <v>24</v>
      </c>
      <c r="J801" s="12" t="str">
        <f>IF(J800&lt;I797,"有效","无效")</f>
        <v>有效</v>
      </c>
      <c r="K801" s="20"/>
      <c r="L801" s="6" t="str">
        <f>IF(R801&lt;=12,"有效","无效")</f>
        <v>有效</v>
      </c>
      <c r="M801" s="34" t="s">
        <v>2330</v>
      </c>
      <c r="N801" s="35"/>
      <c r="O801" s="35"/>
      <c r="P801" s="35"/>
      <c r="Q801" s="36"/>
      <c r="R801" s="10">
        <f>LEN(M801)</f>
        <v>4</v>
      </c>
      <c r="S801" s="10">
        <f>MOD(R801,2)*4+FLOOR(R801/2,1)*6</f>
        <v>12</v>
      </c>
      <c r="T801" s="12" t="str">
        <f>IF(T800&lt;I797,"有效","无效")</f>
        <v>有效</v>
      </c>
    </row>
    <row r="802" spans="1:20" ht="20" customHeight="1">
      <c r="A802" s="22">
        <v>161</v>
      </c>
      <c r="B802" s="23" t="s">
        <v>260</v>
      </c>
      <c r="C802" s="24" t="s">
        <v>261</v>
      </c>
      <c r="D802" s="14">
        <f>LEN($B802)</f>
        <v>2</v>
      </c>
      <c r="E802" s="14">
        <f>LEN(C802)+3</f>
        <v>5</v>
      </c>
      <c r="F802" s="14">
        <f>MOD(D802,2)*4+FLOOR(D802/2,1)*6</f>
        <v>6</v>
      </c>
      <c r="G802" s="14">
        <f>MOD(E802,2)*4+FLOOR(E802/2,1)*6</f>
        <v>16</v>
      </c>
      <c r="H802" s="14">
        <v>12</v>
      </c>
      <c r="I802" s="14">
        <f>108-H802-G802-F802</f>
        <v>74</v>
      </c>
    </row>
    <row r="803" spans="1:20" ht="20" customHeight="1">
      <c r="A803" s="22"/>
      <c r="B803" s="6" t="str">
        <f>IF(H803&lt;=12,"有效","无效")</f>
        <v>有效</v>
      </c>
      <c r="C803" s="34" t="s">
        <v>2176</v>
      </c>
      <c r="D803" s="35"/>
      <c r="E803" s="35"/>
      <c r="F803" s="35"/>
      <c r="G803" s="36"/>
      <c r="H803" s="4">
        <f>LEN(C803)</f>
        <v>7</v>
      </c>
      <c r="I803" s="11">
        <f>MOD(H803,2)*4+FLOOR(H803/2,1)*6</f>
        <v>22</v>
      </c>
      <c r="J803" s="12">
        <f>I803+I804</f>
        <v>56</v>
      </c>
      <c r="K803" s="20"/>
      <c r="L803" s="13" t="str">
        <f>IF(R803&lt;=12,"有效","无效")</f>
        <v>有效</v>
      </c>
      <c r="M803" s="32" t="s">
        <v>1471</v>
      </c>
      <c r="N803" s="32"/>
      <c r="O803" s="32"/>
      <c r="P803" s="32"/>
      <c r="Q803" s="33"/>
      <c r="R803" s="10">
        <f>LEN(M803)</f>
        <v>11</v>
      </c>
      <c r="S803" s="10">
        <f>MOD(R803,2)*4+FLOOR(R803/2,1)*6</f>
        <v>34</v>
      </c>
      <c r="T803" s="12">
        <f>S803+S804</f>
        <v>64</v>
      </c>
    </row>
    <row r="804" spans="1:20" ht="20" customHeight="1">
      <c r="A804" s="22"/>
      <c r="B804" s="6" t="str">
        <f>IF(H804&lt;=12,"有效","无效")</f>
        <v>有效</v>
      </c>
      <c r="C804" s="34" t="s">
        <v>2177</v>
      </c>
      <c r="D804" s="35"/>
      <c r="E804" s="35"/>
      <c r="F804" s="35"/>
      <c r="G804" s="36"/>
      <c r="H804" s="4">
        <f>LEN(C804)</f>
        <v>11</v>
      </c>
      <c r="I804" s="11">
        <f>MOD(H804,2)*4+FLOOR(H804/2,1)*6</f>
        <v>34</v>
      </c>
      <c r="J804" s="12" t="str">
        <f>IF(J803&lt;I802,"有效","无效")</f>
        <v>有效</v>
      </c>
      <c r="K804" s="20"/>
      <c r="L804" s="6" t="str">
        <f>IF(R804&lt;=12,"有效","无效")</f>
        <v>有效</v>
      </c>
      <c r="M804" s="31" t="s">
        <v>1472</v>
      </c>
      <c r="N804" s="32"/>
      <c r="O804" s="32"/>
      <c r="P804" s="32"/>
      <c r="Q804" s="33"/>
      <c r="R804" s="10">
        <f>LEN(M804)</f>
        <v>10</v>
      </c>
      <c r="S804" s="10">
        <f>MOD(R804,2)*4+FLOOR(R804/2,1)*6</f>
        <v>30</v>
      </c>
      <c r="T804" s="12" t="str">
        <f>IF(T803&lt;I802,"有效","无效")</f>
        <v>有效</v>
      </c>
    </row>
    <row r="805" spans="1:20" ht="20" customHeight="1">
      <c r="A805" s="22"/>
      <c r="B805" s="6" t="str">
        <f>IF(H805&lt;=12,"有效","无效")</f>
        <v>有效</v>
      </c>
      <c r="C805" s="34" t="s">
        <v>2178</v>
      </c>
      <c r="D805" s="35"/>
      <c r="E805" s="35"/>
      <c r="F805" s="35"/>
      <c r="G805" s="36"/>
      <c r="H805" s="4">
        <f>LEN(C805)</f>
        <v>7</v>
      </c>
      <c r="I805" s="11">
        <f>MOD(H805,2)*4+FLOOR(H805/2,1)*6</f>
        <v>22</v>
      </c>
      <c r="J805" s="12">
        <f>I805+I806</f>
        <v>34</v>
      </c>
      <c r="K805" s="20"/>
      <c r="L805" s="6" t="str">
        <f>IF(R805&lt;=12,"有效","无效")</f>
        <v>有效</v>
      </c>
      <c r="M805" s="31" t="s">
        <v>1473</v>
      </c>
      <c r="N805" s="32"/>
      <c r="O805" s="32"/>
      <c r="P805" s="32"/>
      <c r="Q805" s="33"/>
      <c r="R805" s="10">
        <f>LEN(M805)</f>
        <v>5</v>
      </c>
      <c r="S805" s="10">
        <f>MOD(R805,2)*4+FLOOR(R805/2,1)*6</f>
        <v>16</v>
      </c>
      <c r="T805" s="12">
        <f>S805+S806</f>
        <v>44</v>
      </c>
    </row>
    <row r="806" spans="1:20" ht="20" customHeight="1">
      <c r="A806" s="22"/>
      <c r="B806" s="6" t="str">
        <f>IF(H806&lt;=12,"有效","无效")</f>
        <v>有效</v>
      </c>
      <c r="C806" s="34" t="s">
        <v>2100</v>
      </c>
      <c r="D806" s="35"/>
      <c r="E806" s="35"/>
      <c r="F806" s="35"/>
      <c r="G806" s="36"/>
      <c r="H806" s="4">
        <f>LEN(C806)</f>
        <v>4</v>
      </c>
      <c r="I806" s="11">
        <f>MOD(H806,2)*4+FLOOR(H806/2,1)*6</f>
        <v>12</v>
      </c>
      <c r="J806" s="12" t="str">
        <f>IF(J805&lt;I802,"有效","无效")</f>
        <v>有效</v>
      </c>
      <c r="K806" s="20"/>
      <c r="L806" s="6" t="str">
        <f>IF(R806&lt;=12,"有效","无效")</f>
        <v>有效</v>
      </c>
      <c r="M806" s="31" t="s">
        <v>1474</v>
      </c>
      <c r="N806" s="32"/>
      <c r="O806" s="32"/>
      <c r="P806" s="32"/>
      <c r="Q806" s="33"/>
      <c r="R806" s="10">
        <f>LEN(M806)</f>
        <v>9</v>
      </c>
      <c r="S806" s="10">
        <f>MOD(R806,2)*4+FLOOR(R806/2,1)*6</f>
        <v>28</v>
      </c>
      <c r="T806" s="12" t="str">
        <f>IF(T805&lt;I802,"有效","无效")</f>
        <v>有效</v>
      </c>
    </row>
    <row r="807" spans="1:20" ht="20" customHeight="1">
      <c r="A807" s="22">
        <v>162</v>
      </c>
      <c r="B807" s="23" t="s">
        <v>262</v>
      </c>
      <c r="C807" s="24" t="s">
        <v>263</v>
      </c>
      <c r="D807" s="14">
        <f>LEN($B807)</f>
        <v>3</v>
      </c>
      <c r="E807" s="14">
        <f>LEN(C807)+3</f>
        <v>6</v>
      </c>
      <c r="F807" s="14">
        <f>MOD(D807,2)*4+FLOOR(D807/2,1)*6</f>
        <v>10</v>
      </c>
      <c r="G807" s="14">
        <f>MOD(E807,2)*4+FLOOR(E807/2,1)*6</f>
        <v>18</v>
      </c>
      <c r="H807" s="14">
        <v>12</v>
      </c>
      <c r="I807" s="14">
        <f>108-H807-G807-F807</f>
        <v>68</v>
      </c>
    </row>
    <row r="808" spans="1:20" ht="20" customHeight="1">
      <c r="A808" s="22"/>
      <c r="B808" s="6" t="str">
        <f>IF(H808&lt;=12,"有效","无效")</f>
        <v>有效</v>
      </c>
      <c r="C808" s="31" t="s">
        <v>1475</v>
      </c>
      <c r="D808" s="32"/>
      <c r="E808" s="32"/>
      <c r="F808" s="32"/>
      <c r="G808" s="33"/>
      <c r="H808" s="4">
        <f>LEN(C808)</f>
        <v>6</v>
      </c>
      <c r="I808" s="11">
        <f>MOD(H808,2)*4+FLOOR(H808/2,1)*6</f>
        <v>18</v>
      </c>
      <c r="J808" s="12">
        <f>I808+I809</f>
        <v>42</v>
      </c>
      <c r="K808" s="20"/>
      <c r="L808" s="13" t="str">
        <f>IF(R808&lt;=12,"有效","无效")</f>
        <v>有效</v>
      </c>
      <c r="M808" s="35" t="s">
        <v>1479</v>
      </c>
      <c r="N808" s="35"/>
      <c r="O808" s="35"/>
      <c r="P808" s="35"/>
      <c r="Q808" s="36"/>
      <c r="R808" s="10">
        <f>LEN(M808)</f>
        <v>8</v>
      </c>
      <c r="S808" s="10">
        <f>MOD(R808,2)*4+FLOOR(R808/2,1)*6</f>
        <v>24</v>
      </c>
      <c r="T808" s="12">
        <f>S808+S809</f>
        <v>54</v>
      </c>
    </row>
    <row r="809" spans="1:20" ht="20" customHeight="1">
      <c r="A809" s="22"/>
      <c r="B809" s="6" t="str">
        <f>IF(H809&lt;=12,"有效","无效")</f>
        <v>有效</v>
      </c>
      <c r="C809" s="31" t="s">
        <v>1476</v>
      </c>
      <c r="D809" s="32"/>
      <c r="E809" s="32"/>
      <c r="F809" s="32"/>
      <c r="G809" s="33"/>
      <c r="H809" s="4">
        <f>LEN(C809)</f>
        <v>8</v>
      </c>
      <c r="I809" s="11">
        <f>MOD(H809,2)*4+FLOOR(H809/2,1)*6</f>
        <v>24</v>
      </c>
      <c r="J809" s="12" t="str">
        <f>IF(J808&lt;I807,"有效","无效")</f>
        <v>有效</v>
      </c>
      <c r="K809" s="20"/>
      <c r="L809" s="6" t="str">
        <f>IF(R809&lt;=12,"有效","无效")</f>
        <v>有效</v>
      </c>
      <c r="M809" s="34" t="s">
        <v>1480</v>
      </c>
      <c r="N809" s="35"/>
      <c r="O809" s="35"/>
      <c r="P809" s="35"/>
      <c r="Q809" s="36"/>
      <c r="R809" s="10">
        <f>LEN(M809)</f>
        <v>10</v>
      </c>
      <c r="S809" s="10">
        <f>MOD(R809,2)*4+FLOOR(R809/2,1)*6</f>
        <v>30</v>
      </c>
      <c r="T809" s="12" t="str">
        <f>IF(T808&lt;I807,"有效","无效")</f>
        <v>有效</v>
      </c>
    </row>
    <row r="810" spans="1:20" ht="20" customHeight="1">
      <c r="A810" s="22"/>
      <c r="B810" s="6" t="str">
        <f>IF(H810&lt;=12,"有效","无效")</f>
        <v>有效</v>
      </c>
      <c r="C810" s="31" t="s">
        <v>1477</v>
      </c>
      <c r="D810" s="32"/>
      <c r="E810" s="32"/>
      <c r="F810" s="32"/>
      <c r="G810" s="33"/>
      <c r="H810" s="4">
        <f>LEN(C810)</f>
        <v>6</v>
      </c>
      <c r="I810" s="11">
        <f>MOD(H810,2)*4+FLOOR(H810/2,1)*6</f>
        <v>18</v>
      </c>
      <c r="J810" s="12">
        <f>I810+I811</f>
        <v>42</v>
      </c>
      <c r="K810" s="20"/>
      <c r="L810" s="6" t="str">
        <f>IF(R810&lt;=12,"有效","无效")</f>
        <v>有效</v>
      </c>
      <c r="M810" s="34" t="s">
        <v>1481</v>
      </c>
      <c r="N810" s="35"/>
      <c r="O810" s="35"/>
      <c r="P810" s="35"/>
      <c r="Q810" s="36"/>
      <c r="R810" s="10">
        <f>LEN(M810)</f>
        <v>10</v>
      </c>
      <c r="S810" s="10">
        <f>MOD(R810,2)*4+FLOOR(R810/2,1)*6</f>
        <v>30</v>
      </c>
      <c r="T810" s="12">
        <f>S810+S811</f>
        <v>52</v>
      </c>
    </row>
    <row r="811" spans="1:20" ht="20" customHeight="1">
      <c r="A811" s="22"/>
      <c r="B811" s="6" t="str">
        <f>IF(H811&lt;=12,"有效","无效")</f>
        <v>有效</v>
      </c>
      <c r="C811" s="31" t="s">
        <v>1478</v>
      </c>
      <c r="D811" s="32"/>
      <c r="E811" s="32"/>
      <c r="F811" s="32"/>
      <c r="G811" s="33"/>
      <c r="H811" s="4">
        <f>LEN(C811)</f>
        <v>8</v>
      </c>
      <c r="I811" s="11">
        <f>MOD(H811,2)*4+FLOOR(H811/2,1)*6</f>
        <v>24</v>
      </c>
      <c r="J811" s="12" t="str">
        <f>IF(J810&lt;I807,"有效","无效")</f>
        <v>有效</v>
      </c>
      <c r="K811" s="20"/>
      <c r="L811" s="6" t="str">
        <f>IF(R811&lt;=12,"有效","无效")</f>
        <v>有效</v>
      </c>
      <c r="M811" s="34" t="s">
        <v>1482</v>
      </c>
      <c r="N811" s="35"/>
      <c r="O811" s="35"/>
      <c r="P811" s="35"/>
      <c r="Q811" s="36"/>
      <c r="R811" s="10">
        <f>LEN(M811)</f>
        <v>7</v>
      </c>
      <c r="S811" s="10">
        <f>MOD(R811,2)*4+FLOOR(R811/2,1)*6</f>
        <v>22</v>
      </c>
      <c r="T811" s="12" t="str">
        <f>IF(T810&lt;I807,"有效","无效")</f>
        <v>有效</v>
      </c>
    </row>
    <row r="812" spans="1:20" ht="20" customHeight="1">
      <c r="A812" s="22">
        <v>163</v>
      </c>
      <c r="B812" s="23" t="s">
        <v>264</v>
      </c>
      <c r="C812" s="24" t="s">
        <v>265</v>
      </c>
      <c r="D812" s="14">
        <f>LEN($B812)</f>
        <v>2</v>
      </c>
      <c r="E812" s="14">
        <f>LEN(C812)+3</f>
        <v>6</v>
      </c>
      <c r="F812" s="14">
        <f>MOD(D812,2)*4+FLOOR(D812/2,1)*6</f>
        <v>6</v>
      </c>
      <c r="G812" s="14">
        <f>MOD(E812,2)*4+FLOOR(E812/2,1)*6</f>
        <v>18</v>
      </c>
      <c r="H812" s="14">
        <v>12</v>
      </c>
      <c r="I812" s="14">
        <f>108-H812-G812-F812</f>
        <v>72</v>
      </c>
    </row>
    <row r="813" spans="1:20" ht="20" customHeight="1">
      <c r="A813" s="22"/>
      <c r="B813" s="6" t="str">
        <f>IF(H813&lt;=12,"有效","无效")</f>
        <v>有效</v>
      </c>
      <c r="C813" s="31" t="s">
        <v>1483</v>
      </c>
      <c r="D813" s="32"/>
      <c r="E813" s="32"/>
      <c r="F813" s="32"/>
      <c r="G813" s="33"/>
      <c r="H813" s="4">
        <f>LEN(C813)</f>
        <v>8</v>
      </c>
      <c r="I813" s="11">
        <f>MOD(H813,2)*4+FLOOR(H813/2,1)*6</f>
        <v>24</v>
      </c>
      <c r="J813" s="12">
        <f>I813+I814</f>
        <v>54</v>
      </c>
      <c r="K813" s="20"/>
      <c r="L813" s="13" t="str">
        <f>IF(R813&lt;=12,"有效","无效")</f>
        <v>有效</v>
      </c>
      <c r="M813" s="32" t="s">
        <v>2333</v>
      </c>
      <c r="N813" s="32"/>
      <c r="O813" s="32"/>
      <c r="P813" s="32"/>
      <c r="Q813" s="33"/>
      <c r="R813" s="10">
        <f>LEN(M813)</f>
        <v>11</v>
      </c>
      <c r="S813" s="10">
        <f>MOD(R813,2)*4+FLOOR(R813/2,1)*6</f>
        <v>34</v>
      </c>
      <c r="T813" s="12">
        <f>S813+S814</f>
        <v>62</v>
      </c>
    </row>
    <row r="814" spans="1:20" ht="20" customHeight="1">
      <c r="A814" s="22"/>
      <c r="B814" s="6" t="str">
        <f>IF(H814&lt;=12,"有效","无效")</f>
        <v>有效</v>
      </c>
      <c r="C814" s="31" t="s">
        <v>1484</v>
      </c>
      <c r="D814" s="32"/>
      <c r="E814" s="32"/>
      <c r="F814" s="32"/>
      <c r="G814" s="33"/>
      <c r="H814" s="4">
        <f>LEN(C814)</f>
        <v>10</v>
      </c>
      <c r="I814" s="11">
        <f>MOD(H814,2)*4+FLOOR(H814/2,1)*6</f>
        <v>30</v>
      </c>
      <c r="J814" s="12" t="str">
        <f>IF(J813&lt;I812,"有效","无效")</f>
        <v>有效</v>
      </c>
      <c r="K814" s="20"/>
      <c r="L814" s="6" t="str">
        <f>IF(R814&lt;=12,"有效","无效")</f>
        <v>有效</v>
      </c>
      <c r="M814" s="31" t="s">
        <v>2332</v>
      </c>
      <c r="N814" s="32"/>
      <c r="O814" s="32"/>
      <c r="P814" s="32"/>
      <c r="Q814" s="33"/>
      <c r="R814" s="10">
        <f>LEN(M814)</f>
        <v>9</v>
      </c>
      <c r="S814" s="10">
        <f>MOD(R814,2)*4+FLOOR(R814/2,1)*6</f>
        <v>28</v>
      </c>
      <c r="T814" s="12" t="str">
        <f>IF(T813&lt;I812,"有效","无效")</f>
        <v>有效</v>
      </c>
    </row>
    <row r="815" spans="1:20" ht="20" customHeight="1">
      <c r="A815" s="22"/>
      <c r="B815" s="6" t="str">
        <f>IF(H815&lt;=12,"有效","无效")</f>
        <v>有效</v>
      </c>
      <c r="C815" s="31" t="s">
        <v>1485</v>
      </c>
      <c r="D815" s="32"/>
      <c r="E815" s="32"/>
      <c r="F815" s="32"/>
      <c r="G815" s="33"/>
      <c r="H815" s="4">
        <f>LEN(C815)</f>
        <v>3</v>
      </c>
      <c r="I815" s="11">
        <f>MOD(H815,2)*4+FLOOR(H815/2,1)*6</f>
        <v>10</v>
      </c>
      <c r="J815" s="12">
        <f>I815+I816</f>
        <v>26</v>
      </c>
      <c r="K815" s="20"/>
      <c r="L815" s="6" t="str">
        <f>IF(R815&lt;=12,"有效","无效")</f>
        <v>有效</v>
      </c>
      <c r="M815" s="31" t="s">
        <v>2335</v>
      </c>
      <c r="N815" s="32"/>
      <c r="O815" s="32"/>
      <c r="P815" s="32"/>
      <c r="Q815" s="33"/>
      <c r="R815" s="10">
        <f>LEN(M815)</f>
        <v>7</v>
      </c>
      <c r="S815" s="10">
        <f>MOD(R815,2)*4+FLOOR(R815/2,1)*6</f>
        <v>22</v>
      </c>
      <c r="T815" s="12">
        <f>S815+S816</f>
        <v>38</v>
      </c>
    </row>
    <row r="816" spans="1:20" ht="20" customHeight="1">
      <c r="A816" s="22"/>
      <c r="B816" s="6" t="str">
        <f>IF(H816&lt;=12,"有效","无效")</f>
        <v>有效</v>
      </c>
      <c r="C816" s="31" t="s">
        <v>1486</v>
      </c>
      <c r="D816" s="32"/>
      <c r="E816" s="32"/>
      <c r="F816" s="32"/>
      <c r="G816" s="33"/>
      <c r="H816" s="4">
        <f>LEN(C816)</f>
        <v>5</v>
      </c>
      <c r="I816" s="11">
        <f>MOD(H816,2)*4+FLOOR(H816/2,1)*6</f>
        <v>16</v>
      </c>
      <c r="J816" s="12" t="str">
        <f>IF(J815&lt;I812,"有效","无效")</f>
        <v>有效</v>
      </c>
      <c r="K816" s="20"/>
      <c r="L816" s="6" t="str">
        <f>IF(R816&lt;=12,"有效","无效")</f>
        <v>有效</v>
      </c>
      <c r="M816" s="31" t="s">
        <v>2334</v>
      </c>
      <c r="N816" s="32"/>
      <c r="O816" s="32"/>
      <c r="P816" s="32"/>
      <c r="Q816" s="33"/>
      <c r="R816" s="10">
        <f>LEN(M816)</f>
        <v>5</v>
      </c>
      <c r="S816" s="10">
        <f>MOD(R816,2)*4+FLOOR(R816/2,1)*6</f>
        <v>16</v>
      </c>
      <c r="T816" s="12" t="str">
        <f>IF(T815&lt;I812,"有效","无效")</f>
        <v>有效</v>
      </c>
    </row>
    <row r="817" spans="1:20" ht="20" customHeight="1">
      <c r="A817" s="22">
        <v>164</v>
      </c>
      <c r="B817" s="23" t="s">
        <v>266</v>
      </c>
      <c r="C817" s="24" t="s">
        <v>265</v>
      </c>
      <c r="D817" s="14">
        <f>LEN($B817)</f>
        <v>4</v>
      </c>
      <c r="E817" s="14">
        <f>LEN(C817)+3</f>
        <v>6</v>
      </c>
      <c r="F817" s="14">
        <f>MOD(D817,2)*4+FLOOR(D817/2,1)*6</f>
        <v>12</v>
      </c>
      <c r="G817" s="14">
        <f>MOD(E817,2)*4+FLOOR(E817/2,1)*6</f>
        <v>18</v>
      </c>
      <c r="H817" s="14">
        <v>12</v>
      </c>
      <c r="I817" s="14">
        <f>108-H817-G817-F817</f>
        <v>66</v>
      </c>
    </row>
    <row r="818" spans="1:20" ht="20" customHeight="1">
      <c r="A818" s="22"/>
      <c r="B818" s="6" t="str">
        <f>IF(H818&lt;=12,"有效","无效")</f>
        <v>有效</v>
      </c>
      <c r="C818" s="31" t="s">
        <v>1487</v>
      </c>
      <c r="D818" s="32"/>
      <c r="E818" s="32"/>
      <c r="F818" s="32"/>
      <c r="G818" s="33"/>
      <c r="H818" s="4">
        <f>LEN(C818)</f>
        <v>10</v>
      </c>
      <c r="I818" s="11">
        <f>MOD(H818,2)*4+FLOOR(H818/2,1)*6</f>
        <v>30</v>
      </c>
      <c r="J818" s="12">
        <f>I818+I819</f>
        <v>64</v>
      </c>
      <c r="K818" s="20"/>
      <c r="L818" s="13" t="str">
        <f>IF(R818&lt;=12,"有效","无效")</f>
        <v>有效</v>
      </c>
      <c r="M818" s="32" t="s">
        <v>1491</v>
      </c>
      <c r="N818" s="32"/>
      <c r="O818" s="32"/>
      <c r="P818" s="32"/>
      <c r="Q818" s="33"/>
      <c r="R818" s="10">
        <f>LEN(M818)</f>
        <v>8</v>
      </c>
      <c r="S818" s="10">
        <f>MOD(R818,2)*4+FLOOR(R818/2,1)*6</f>
        <v>24</v>
      </c>
      <c r="T818" s="12">
        <f>S818+S819</f>
        <v>58</v>
      </c>
    </row>
    <row r="819" spans="1:20" ht="20" customHeight="1">
      <c r="A819" s="22"/>
      <c r="B819" s="6" t="str">
        <f>IF(H819&lt;=12,"有效","无效")</f>
        <v>有效</v>
      </c>
      <c r="C819" s="31" t="s">
        <v>1488</v>
      </c>
      <c r="D819" s="32"/>
      <c r="E819" s="32"/>
      <c r="F819" s="32"/>
      <c r="G819" s="33"/>
      <c r="H819" s="4">
        <f>LEN(C819)</f>
        <v>11</v>
      </c>
      <c r="I819" s="11">
        <f>MOD(H819,2)*4+FLOOR(H819/2,1)*6</f>
        <v>34</v>
      </c>
      <c r="J819" s="12" t="str">
        <f>IF(J818&lt;I817,"有效","无效")</f>
        <v>有效</v>
      </c>
      <c r="K819" s="20"/>
      <c r="L819" s="6" t="str">
        <f>IF(R819&lt;=12,"有效","无效")</f>
        <v>有效</v>
      </c>
      <c r="M819" s="31" t="s">
        <v>1492</v>
      </c>
      <c r="N819" s="32"/>
      <c r="O819" s="32"/>
      <c r="P819" s="32"/>
      <c r="Q819" s="33"/>
      <c r="R819" s="10">
        <f>LEN(M819)</f>
        <v>11</v>
      </c>
      <c r="S819" s="10">
        <f>MOD(R819,2)*4+FLOOR(R819/2,1)*6</f>
        <v>34</v>
      </c>
      <c r="T819" s="12" t="str">
        <f>IF(T818&lt;I817,"有效","无效")</f>
        <v>有效</v>
      </c>
    </row>
    <row r="820" spans="1:20" ht="20" customHeight="1">
      <c r="A820" s="22"/>
      <c r="B820" s="6" t="str">
        <f>IF(H820&lt;=12,"有效","无效")</f>
        <v>有效</v>
      </c>
      <c r="C820" s="31" t="s">
        <v>1489</v>
      </c>
      <c r="D820" s="32"/>
      <c r="E820" s="32"/>
      <c r="F820" s="32"/>
      <c r="G820" s="33"/>
      <c r="H820" s="4">
        <f>LEN(C820)</f>
        <v>7</v>
      </c>
      <c r="I820" s="11">
        <f>MOD(H820,2)*4+FLOOR(H820/2,1)*6</f>
        <v>22</v>
      </c>
      <c r="J820" s="12">
        <f>I820+I821</f>
        <v>52</v>
      </c>
      <c r="K820" s="20"/>
      <c r="L820" s="6" t="str">
        <f>IF(R820&lt;=12,"有效","无效")</f>
        <v>有效</v>
      </c>
      <c r="M820" s="31" t="s">
        <v>1493</v>
      </c>
      <c r="N820" s="32"/>
      <c r="O820" s="32"/>
      <c r="P820" s="32"/>
      <c r="Q820" s="33"/>
      <c r="R820" s="10">
        <f>LEN(M820)</f>
        <v>4</v>
      </c>
      <c r="S820" s="10">
        <f>MOD(R820,2)*4+FLOOR(R820/2,1)*6</f>
        <v>12</v>
      </c>
      <c r="T820" s="12">
        <f>S820+S821</f>
        <v>36</v>
      </c>
    </row>
    <row r="821" spans="1:20" ht="20" customHeight="1">
      <c r="A821" s="22"/>
      <c r="B821" s="6" t="str">
        <f>IF(H821&lt;=12,"有效","无效")</f>
        <v>有效</v>
      </c>
      <c r="C821" s="31" t="s">
        <v>1490</v>
      </c>
      <c r="D821" s="32"/>
      <c r="E821" s="32"/>
      <c r="F821" s="32"/>
      <c r="G821" s="33"/>
      <c r="H821" s="4">
        <f>LEN(C821)</f>
        <v>10</v>
      </c>
      <c r="I821" s="11">
        <f>MOD(H821,2)*4+FLOOR(H821/2,1)*6</f>
        <v>30</v>
      </c>
      <c r="J821" s="12" t="str">
        <f>IF(J820&lt;I817,"有效","无效")</f>
        <v>有效</v>
      </c>
      <c r="K821" s="20"/>
      <c r="L821" s="6" t="str">
        <f>IF(R821&lt;=12,"有效","无效")</f>
        <v>有效</v>
      </c>
      <c r="M821" s="31" t="s">
        <v>1494</v>
      </c>
      <c r="N821" s="32"/>
      <c r="O821" s="32"/>
      <c r="P821" s="32"/>
      <c r="Q821" s="33"/>
      <c r="R821" s="10">
        <f>LEN(M821)</f>
        <v>8</v>
      </c>
      <c r="S821" s="10">
        <f>MOD(R821,2)*4+FLOOR(R821/2,1)*6</f>
        <v>24</v>
      </c>
      <c r="T821" s="12" t="str">
        <f>IF(T820&lt;I817,"有效","无效")</f>
        <v>有效</v>
      </c>
    </row>
    <row r="822" spans="1:20" ht="20" customHeight="1">
      <c r="A822" s="22">
        <v>165</v>
      </c>
      <c r="B822" s="23" t="s">
        <v>267</v>
      </c>
      <c r="C822" s="24" t="s">
        <v>268</v>
      </c>
      <c r="D822" s="14">
        <f>LEN($B822)</f>
        <v>3</v>
      </c>
      <c r="E822" s="14">
        <f>LEN(C822)+3</f>
        <v>5</v>
      </c>
      <c r="F822" s="14">
        <f>MOD(D822,2)*4+FLOOR(D822/2,1)*6</f>
        <v>10</v>
      </c>
      <c r="G822" s="14">
        <f>MOD(E822,2)*4+FLOOR(E822/2,1)*6</f>
        <v>16</v>
      </c>
      <c r="H822" s="14">
        <v>12</v>
      </c>
      <c r="I822" s="14">
        <f>108-H822-G822-F822</f>
        <v>70</v>
      </c>
    </row>
    <row r="823" spans="1:20" ht="20" customHeight="1">
      <c r="A823" s="22"/>
      <c r="B823" s="6" t="str">
        <f>IF(H823&lt;=12,"有效","无效")</f>
        <v>有效</v>
      </c>
      <c r="C823" s="34" t="s">
        <v>2238</v>
      </c>
      <c r="D823" s="35"/>
      <c r="E823" s="35"/>
      <c r="F823" s="35"/>
      <c r="G823" s="36"/>
      <c r="H823" s="4">
        <f>LEN(C823)</f>
        <v>11</v>
      </c>
      <c r="I823" s="11">
        <f>MOD(H823,2)*4+FLOOR(H823/2,1)*6</f>
        <v>34</v>
      </c>
      <c r="J823" s="12">
        <f>I823+I824</f>
        <v>68</v>
      </c>
      <c r="K823" s="20"/>
      <c r="L823" s="13" t="str">
        <f>IF(R823&lt;=12,"有效","无效")</f>
        <v>有效</v>
      </c>
      <c r="M823" s="32" t="s">
        <v>2338</v>
      </c>
      <c r="N823" s="32"/>
      <c r="O823" s="32"/>
      <c r="P823" s="32"/>
      <c r="Q823" s="33"/>
      <c r="R823" s="10">
        <f>LEN(M823)</f>
        <v>2</v>
      </c>
      <c r="S823" s="10">
        <f>MOD(R823,2)*4+FLOOR(R823/2,1)*6</f>
        <v>6</v>
      </c>
      <c r="T823" s="12">
        <f>S823+S824</f>
        <v>18</v>
      </c>
    </row>
    <row r="824" spans="1:20" ht="20" customHeight="1">
      <c r="A824" s="22"/>
      <c r="B824" s="6" t="str">
        <f>IF(H824&lt;=12,"有效","无效")</f>
        <v>有效</v>
      </c>
      <c r="C824" s="34" t="s">
        <v>1495</v>
      </c>
      <c r="D824" s="35"/>
      <c r="E824" s="35"/>
      <c r="F824" s="35"/>
      <c r="G824" s="36"/>
      <c r="H824" s="4">
        <f>LEN(C824)</f>
        <v>11</v>
      </c>
      <c r="I824" s="11">
        <f>MOD(H824,2)*4+FLOOR(H824/2,1)*6</f>
        <v>34</v>
      </c>
      <c r="J824" s="12" t="str">
        <f>IF(J823&lt;I822,"有效","无效")</f>
        <v>有效</v>
      </c>
      <c r="K824" s="20"/>
      <c r="L824" s="6" t="str">
        <f>IF(R824&lt;=12,"有效","无效")</f>
        <v>有效</v>
      </c>
      <c r="M824" s="31" t="s">
        <v>2339</v>
      </c>
      <c r="N824" s="32"/>
      <c r="O824" s="32"/>
      <c r="P824" s="32"/>
      <c r="Q824" s="33"/>
      <c r="R824" s="10">
        <f>LEN(M824)</f>
        <v>4</v>
      </c>
      <c r="S824" s="10">
        <f>MOD(R824,2)*4+FLOOR(R824/2,1)*6</f>
        <v>12</v>
      </c>
      <c r="T824" s="12" t="str">
        <f>IF(T823&lt;I822,"有效","无效")</f>
        <v>有效</v>
      </c>
    </row>
    <row r="825" spans="1:20" ht="20" customHeight="1">
      <c r="A825" s="22"/>
      <c r="B825" s="6" t="str">
        <f>IF(H825&lt;=12,"有效","无效")</f>
        <v>有效</v>
      </c>
      <c r="C825" s="34" t="s">
        <v>2240</v>
      </c>
      <c r="D825" s="35"/>
      <c r="E825" s="35"/>
      <c r="F825" s="35"/>
      <c r="G825" s="36"/>
      <c r="H825" s="4">
        <f>LEN(C825)</f>
        <v>5</v>
      </c>
      <c r="I825" s="11">
        <f>MOD(H825,2)*4+FLOOR(H825/2,1)*6</f>
        <v>16</v>
      </c>
      <c r="J825" s="12">
        <f>I825+I826</f>
        <v>38</v>
      </c>
      <c r="K825" s="20"/>
      <c r="L825" s="6" t="str">
        <f>IF(R825&lt;=12,"有效","无效")</f>
        <v>有效</v>
      </c>
      <c r="M825" s="31" t="s">
        <v>2336</v>
      </c>
      <c r="N825" s="32"/>
      <c r="O825" s="32"/>
      <c r="P825" s="32"/>
      <c r="Q825" s="33"/>
      <c r="R825" s="10">
        <f>LEN(M825)</f>
        <v>10</v>
      </c>
      <c r="S825" s="10">
        <f>MOD(R825,2)*4+FLOOR(R825/2,1)*6</f>
        <v>30</v>
      </c>
      <c r="T825" s="12">
        <f>S825+S826</f>
        <v>60</v>
      </c>
    </row>
    <row r="826" spans="1:20" ht="20" customHeight="1">
      <c r="A826" s="22"/>
      <c r="B826" s="6" t="str">
        <f>IF(H826&lt;=12,"有效","无效")</f>
        <v>有效</v>
      </c>
      <c r="C826" s="34" t="s">
        <v>2239</v>
      </c>
      <c r="D826" s="35"/>
      <c r="E826" s="35"/>
      <c r="F826" s="35"/>
      <c r="G826" s="36"/>
      <c r="H826" s="4">
        <f>LEN(C826)</f>
        <v>7</v>
      </c>
      <c r="I826" s="11">
        <f>MOD(H826,2)*4+FLOOR(H826/2,1)*6</f>
        <v>22</v>
      </c>
      <c r="J826" s="12" t="str">
        <f>IF(J825&lt;I822,"有效","无效")</f>
        <v>有效</v>
      </c>
      <c r="K826" s="20"/>
      <c r="L826" s="6" t="str">
        <f>IF(R826&lt;=12,"有效","无效")</f>
        <v>有效</v>
      </c>
      <c r="M826" s="31" t="s">
        <v>2337</v>
      </c>
      <c r="N826" s="32"/>
      <c r="O826" s="32"/>
      <c r="P826" s="32"/>
      <c r="Q826" s="33"/>
      <c r="R826" s="10">
        <f>LEN(M826)</f>
        <v>10</v>
      </c>
      <c r="S826" s="10">
        <f>MOD(R826,2)*4+FLOOR(R826/2,1)*6</f>
        <v>30</v>
      </c>
      <c r="T826" s="12" t="str">
        <f>IF(T825&lt;I822,"有效","无效")</f>
        <v>有效</v>
      </c>
    </row>
    <row r="827" spans="1:20" ht="20" customHeight="1">
      <c r="A827" s="22">
        <v>166</v>
      </c>
      <c r="B827" s="23" t="s">
        <v>269</v>
      </c>
      <c r="C827" s="24" t="s">
        <v>268</v>
      </c>
      <c r="D827" s="14">
        <f>LEN($B827)</f>
        <v>3</v>
      </c>
      <c r="E827" s="14">
        <f>LEN(C827)+3</f>
        <v>5</v>
      </c>
      <c r="F827" s="14">
        <f>MOD(D827,2)*4+FLOOR(D827/2,1)*6</f>
        <v>10</v>
      </c>
      <c r="G827" s="14">
        <f>MOD(E827,2)*4+FLOOR(E827/2,1)*6</f>
        <v>16</v>
      </c>
      <c r="H827" s="14">
        <v>12</v>
      </c>
      <c r="I827" s="14">
        <f>108-H827-G827-F827</f>
        <v>70</v>
      </c>
    </row>
    <row r="828" spans="1:20" ht="20" customHeight="1">
      <c r="A828" s="22"/>
      <c r="B828" s="6" t="str">
        <f>IF(H828&lt;=12,"有效","无效")</f>
        <v>有效</v>
      </c>
      <c r="C828" s="31" t="s">
        <v>2180</v>
      </c>
      <c r="D828" s="32"/>
      <c r="E828" s="32"/>
      <c r="F828" s="32"/>
      <c r="G828" s="33"/>
      <c r="H828" s="4">
        <f>LEN(C828)</f>
        <v>3</v>
      </c>
      <c r="I828" s="11">
        <f>MOD(H828,2)*4+FLOOR(H828/2,1)*6</f>
        <v>10</v>
      </c>
      <c r="J828" s="12">
        <f>I828+I829</f>
        <v>28</v>
      </c>
      <c r="K828" s="20"/>
      <c r="L828" s="13" t="str">
        <f>IF(R828&lt;=12,"有效","无效")</f>
        <v>有效</v>
      </c>
      <c r="M828" s="32" t="s">
        <v>2343</v>
      </c>
      <c r="N828" s="32"/>
      <c r="O828" s="32"/>
      <c r="P828" s="32"/>
      <c r="Q828" s="33"/>
      <c r="R828" s="10">
        <f>LEN(M828)</f>
        <v>12</v>
      </c>
      <c r="S828" s="10">
        <f>MOD(R828,2)*4+FLOOR(R828/2,1)*6</f>
        <v>36</v>
      </c>
      <c r="T828" s="12">
        <f>S828+S829</f>
        <v>66</v>
      </c>
    </row>
    <row r="829" spans="1:20" ht="20" customHeight="1">
      <c r="A829" s="22"/>
      <c r="B829" s="6" t="str">
        <f>IF(H829&lt;=12,"有效","无效")</f>
        <v>有效</v>
      </c>
      <c r="C829" s="31" t="s">
        <v>2181</v>
      </c>
      <c r="D829" s="32"/>
      <c r="E829" s="32"/>
      <c r="F829" s="32"/>
      <c r="G829" s="33"/>
      <c r="H829" s="4">
        <f>LEN(C829)</f>
        <v>6</v>
      </c>
      <c r="I829" s="11">
        <f>MOD(H829,2)*4+FLOOR(H829/2,1)*6</f>
        <v>18</v>
      </c>
      <c r="J829" s="12" t="str">
        <f>IF(J828&lt;I827,"有效","无效")</f>
        <v>有效</v>
      </c>
      <c r="K829" s="20"/>
      <c r="L829" s="6" t="str">
        <f>IF(R829&lt;=12,"有效","无效")</f>
        <v>有效</v>
      </c>
      <c r="M829" s="31" t="s">
        <v>2342</v>
      </c>
      <c r="N829" s="32"/>
      <c r="O829" s="32"/>
      <c r="P829" s="32"/>
      <c r="Q829" s="33"/>
      <c r="R829" s="10">
        <f>LEN(M829)</f>
        <v>10</v>
      </c>
      <c r="S829" s="10">
        <f>MOD(R829,2)*4+FLOOR(R829/2,1)*6</f>
        <v>30</v>
      </c>
      <c r="T829" s="12" t="str">
        <f>IF(T828&lt;I827,"有效","无效")</f>
        <v>有效</v>
      </c>
    </row>
    <row r="830" spans="1:20" ht="20" customHeight="1">
      <c r="A830" s="22"/>
      <c r="B830" s="6" t="str">
        <f>IF(H830&lt;=12,"有效","无效")</f>
        <v>有效</v>
      </c>
      <c r="C830" s="31" t="s">
        <v>2179</v>
      </c>
      <c r="D830" s="32"/>
      <c r="E830" s="32"/>
      <c r="F830" s="32"/>
      <c r="G830" s="33"/>
      <c r="H830" s="4">
        <f>LEN(C830)</f>
        <v>12</v>
      </c>
      <c r="I830" s="11">
        <f>MOD(H830,2)*4+FLOOR(H830/2,1)*6</f>
        <v>36</v>
      </c>
      <c r="J830" s="12">
        <f>I830+I831</f>
        <v>58</v>
      </c>
      <c r="K830" s="20"/>
      <c r="L830" s="6" t="str">
        <f>IF(R830&lt;=12,"有效","无效")</f>
        <v>有效</v>
      </c>
      <c r="M830" s="31" t="s">
        <v>2341</v>
      </c>
      <c r="N830" s="32"/>
      <c r="O830" s="32"/>
      <c r="P830" s="32"/>
      <c r="Q830" s="33"/>
      <c r="R830" s="10">
        <f>LEN(M830)</f>
        <v>4</v>
      </c>
      <c r="S830" s="10">
        <f>MOD(R830,2)*4+FLOOR(R830/2,1)*6</f>
        <v>12</v>
      </c>
      <c r="T830" s="12">
        <f>S830+S831</f>
        <v>28</v>
      </c>
    </row>
    <row r="831" spans="1:20" ht="20" customHeight="1">
      <c r="A831" s="22"/>
      <c r="B831" s="6" t="str">
        <f>IF(H831&lt;=12,"有效","无效")</f>
        <v>有效</v>
      </c>
      <c r="C831" s="31" t="s">
        <v>1496</v>
      </c>
      <c r="D831" s="32"/>
      <c r="E831" s="32"/>
      <c r="F831" s="32"/>
      <c r="G831" s="33"/>
      <c r="H831" s="4">
        <f>LEN(C831)</f>
        <v>7</v>
      </c>
      <c r="I831" s="11">
        <f>MOD(H831,2)*4+FLOOR(H831/2,1)*6</f>
        <v>22</v>
      </c>
      <c r="J831" s="12" t="str">
        <f>IF(J830&lt;I827,"有效","无效")</f>
        <v>有效</v>
      </c>
      <c r="K831" s="20"/>
      <c r="L831" s="6" t="str">
        <f>IF(R831&lt;=12,"有效","无效")</f>
        <v>有效</v>
      </c>
      <c r="M831" s="31" t="s">
        <v>2340</v>
      </c>
      <c r="N831" s="32"/>
      <c r="O831" s="32"/>
      <c r="P831" s="32"/>
      <c r="Q831" s="33"/>
      <c r="R831" s="10">
        <f>LEN(M831)</f>
        <v>5</v>
      </c>
      <c r="S831" s="10">
        <f>MOD(R831,2)*4+FLOOR(R831/2,1)*6</f>
        <v>16</v>
      </c>
      <c r="T831" s="12" t="str">
        <f>IF(T830&lt;I827,"有效","无效")</f>
        <v>有效</v>
      </c>
    </row>
    <row r="832" spans="1:20" ht="20" customHeight="1">
      <c r="A832" s="22">
        <v>167</v>
      </c>
      <c r="B832" s="23" t="s">
        <v>270</v>
      </c>
      <c r="C832" s="24" t="s">
        <v>271</v>
      </c>
      <c r="D832" s="14">
        <f>LEN($B832)</f>
        <v>3</v>
      </c>
      <c r="E832" s="14">
        <f>LEN(C832)+3</f>
        <v>5</v>
      </c>
      <c r="F832" s="14">
        <f>MOD(D832,2)*4+FLOOR(D832/2,1)*6</f>
        <v>10</v>
      </c>
      <c r="G832" s="14">
        <f>MOD(E832,2)*4+FLOOR(E832/2,1)*6</f>
        <v>16</v>
      </c>
      <c r="H832" s="14">
        <v>12</v>
      </c>
      <c r="I832" s="14">
        <f>108-H832-G832-F832</f>
        <v>70</v>
      </c>
    </row>
    <row r="833" spans="1:20" ht="20" customHeight="1">
      <c r="A833" s="22"/>
      <c r="B833" s="6" t="str">
        <f>IF(H833&lt;=12,"有效","无效")</f>
        <v>有效</v>
      </c>
      <c r="C833" s="31" t="s">
        <v>1497</v>
      </c>
      <c r="D833" s="32"/>
      <c r="E833" s="32"/>
      <c r="F833" s="32"/>
      <c r="G833" s="33"/>
      <c r="H833" s="4">
        <f>LEN(C833)</f>
        <v>8</v>
      </c>
      <c r="I833" s="11">
        <f>MOD(H833,2)*4+FLOOR(H833/2,1)*6</f>
        <v>24</v>
      </c>
      <c r="J833" s="12">
        <f>I833+I834</f>
        <v>48</v>
      </c>
      <c r="K833" s="20"/>
      <c r="L833" s="13" t="str">
        <f>IF(R833&lt;=12,"有效","无效")</f>
        <v>有效</v>
      </c>
      <c r="M833" s="32" t="s">
        <v>1501</v>
      </c>
      <c r="N833" s="32"/>
      <c r="O833" s="32"/>
      <c r="P833" s="32"/>
      <c r="Q833" s="33"/>
      <c r="R833" s="10">
        <f>LEN(M833)</f>
        <v>9</v>
      </c>
      <c r="S833" s="10">
        <f>MOD(R833,2)*4+FLOOR(R833/2,1)*6</f>
        <v>28</v>
      </c>
      <c r="T833" s="12">
        <f>S833+S834</f>
        <v>46</v>
      </c>
    </row>
    <row r="834" spans="1:20" ht="20" customHeight="1">
      <c r="A834" s="22"/>
      <c r="B834" s="6" t="str">
        <f>IF(H834&lt;=12,"有效","无效")</f>
        <v>有效</v>
      </c>
      <c r="C834" s="31" t="s">
        <v>1498</v>
      </c>
      <c r="D834" s="32"/>
      <c r="E834" s="32"/>
      <c r="F834" s="32"/>
      <c r="G834" s="33"/>
      <c r="H834" s="4">
        <f>LEN(C834)</f>
        <v>8</v>
      </c>
      <c r="I834" s="11">
        <f>MOD(H834,2)*4+FLOOR(H834/2,1)*6</f>
        <v>24</v>
      </c>
      <c r="J834" s="12" t="str">
        <f>IF(J833&lt;I832,"有效","无效")</f>
        <v>有效</v>
      </c>
      <c r="K834" s="20"/>
      <c r="L834" s="6" t="str">
        <f>IF(R834&lt;=12,"有效","无效")</f>
        <v>有效</v>
      </c>
      <c r="M834" s="31" t="s">
        <v>1502</v>
      </c>
      <c r="N834" s="32"/>
      <c r="O834" s="32"/>
      <c r="P834" s="32"/>
      <c r="Q834" s="33"/>
      <c r="R834" s="10">
        <f>LEN(M834)</f>
        <v>6</v>
      </c>
      <c r="S834" s="10">
        <f>MOD(R834,2)*4+FLOOR(R834/2,1)*6</f>
        <v>18</v>
      </c>
      <c r="T834" s="12" t="str">
        <f>IF(T833&lt;I832,"有效","无效")</f>
        <v>有效</v>
      </c>
    </row>
    <row r="835" spans="1:20" ht="20" customHeight="1">
      <c r="A835" s="22"/>
      <c r="B835" s="6" t="str">
        <f>IF(H835&lt;=12,"有效","无效")</f>
        <v>有效</v>
      </c>
      <c r="C835" s="31" t="s">
        <v>1499</v>
      </c>
      <c r="D835" s="32"/>
      <c r="E835" s="32"/>
      <c r="F835" s="32"/>
      <c r="G835" s="33"/>
      <c r="H835" s="4">
        <f>LEN(C835)</f>
        <v>10</v>
      </c>
      <c r="I835" s="11">
        <f>MOD(H835,2)*4+FLOOR(H835/2,1)*6</f>
        <v>30</v>
      </c>
      <c r="J835" s="12">
        <f>I835+I836</f>
        <v>60</v>
      </c>
      <c r="K835" s="20"/>
      <c r="L835" s="6" t="str">
        <f>IF(R835&lt;=12,"有效","无效")</f>
        <v>有效</v>
      </c>
      <c r="M835" s="31" t="s">
        <v>1503</v>
      </c>
      <c r="N835" s="32"/>
      <c r="O835" s="32"/>
      <c r="P835" s="32"/>
      <c r="Q835" s="33"/>
      <c r="R835" s="10">
        <f>LEN(M835)</f>
        <v>6</v>
      </c>
      <c r="S835" s="10">
        <f>MOD(R835,2)*4+FLOOR(R835/2,1)*6</f>
        <v>18</v>
      </c>
      <c r="T835" s="12">
        <f>S835+S836</f>
        <v>34</v>
      </c>
    </row>
    <row r="836" spans="1:20" ht="20" customHeight="1">
      <c r="A836" s="22"/>
      <c r="B836" s="6" t="str">
        <f>IF(H836&lt;=12,"有效","无效")</f>
        <v>有效</v>
      </c>
      <c r="C836" s="31" t="s">
        <v>1500</v>
      </c>
      <c r="D836" s="32"/>
      <c r="E836" s="32"/>
      <c r="F836" s="32"/>
      <c r="G836" s="33"/>
      <c r="H836" s="4">
        <f>LEN(C836)</f>
        <v>10</v>
      </c>
      <c r="I836" s="11">
        <f>MOD(H836,2)*4+FLOOR(H836/2,1)*6</f>
        <v>30</v>
      </c>
      <c r="J836" s="12" t="str">
        <f>IF(J835&lt;I832,"有效","无效")</f>
        <v>有效</v>
      </c>
      <c r="K836" s="20"/>
      <c r="L836" s="6" t="str">
        <f>IF(R836&lt;=12,"有效","无效")</f>
        <v>有效</v>
      </c>
      <c r="M836" s="31" t="s">
        <v>1504</v>
      </c>
      <c r="N836" s="32"/>
      <c r="O836" s="32"/>
      <c r="P836" s="32"/>
      <c r="Q836" s="33"/>
      <c r="R836" s="10">
        <f>LEN(M836)</f>
        <v>5</v>
      </c>
      <c r="S836" s="10">
        <f>MOD(R836,2)*4+FLOOR(R836/2,1)*6</f>
        <v>16</v>
      </c>
      <c r="T836" s="12" t="str">
        <f>IF(T835&lt;I832,"有效","无效")</f>
        <v>有效</v>
      </c>
    </row>
    <row r="837" spans="1:20" ht="20" customHeight="1">
      <c r="A837" s="22">
        <v>168</v>
      </c>
      <c r="B837" s="23" t="s">
        <v>272</v>
      </c>
      <c r="C837" s="24" t="s">
        <v>273</v>
      </c>
      <c r="D837" s="14">
        <f>LEN($B837)</f>
        <v>4</v>
      </c>
      <c r="E837" s="14">
        <f>LEN(C837)+3</f>
        <v>5</v>
      </c>
      <c r="F837" s="14">
        <f>MOD(D837,2)*4+FLOOR(D837/2,1)*6</f>
        <v>12</v>
      </c>
      <c r="G837" s="14">
        <f>MOD(E837,2)*4+FLOOR(E837/2,1)*6</f>
        <v>16</v>
      </c>
      <c r="H837" s="14">
        <v>12</v>
      </c>
      <c r="I837" s="14">
        <f>108-H837-G837-F837</f>
        <v>68</v>
      </c>
    </row>
    <row r="838" spans="1:20" ht="20" customHeight="1">
      <c r="A838" s="22"/>
      <c r="B838" s="6" t="str">
        <f>IF(H838&lt;=12,"有效","无效")</f>
        <v>有效</v>
      </c>
      <c r="C838" s="31" t="s">
        <v>1505</v>
      </c>
      <c r="D838" s="32"/>
      <c r="E838" s="32"/>
      <c r="F838" s="32"/>
      <c r="G838" s="33"/>
      <c r="H838" s="4">
        <f>LEN(C838)</f>
        <v>7</v>
      </c>
      <c r="I838" s="11">
        <f>MOD(H838,2)*4+FLOOR(H838/2,1)*6</f>
        <v>22</v>
      </c>
      <c r="J838" s="12">
        <f>I838+I839</f>
        <v>52</v>
      </c>
      <c r="K838" s="20"/>
      <c r="L838" s="13" t="str">
        <f>IF(R838&lt;=12,"有效","无效")</f>
        <v>有效</v>
      </c>
      <c r="M838" s="32" t="s">
        <v>1509</v>
      </c>
      <c r="N838" s="32"/>
      <c r="O838" s="32"/>
      <c r="P838" s="32"/>
      <c r="Q838" s="33"/>
      <c r="R838" s="10">
        <f>LEN(M838)</f>
        <v>7</v>
      </c>
      <c r="S838" s="10">
        <f>MOD(R838,2)*4+FLOOR(R838/2,1)*6</f>
        <v>22</v>
      </c>
      <c r="T838" s="12">
        <f>S838+S839</f>
        <v>44</v>
      </c>
    </row>
    <row r="839" spans="1:20" ht="20" customHeight="1">
      <c r="A839" s="22"/>
      <c r="B839" s="6" t="str">
        <f>IF(H839&lt;=12,"有效","无效")</f>
        <v>有效</v>
      </c>
      <c r="C839" s="31" t="s">
        <v>1506</v>
      </c>
      <c r="D839" s="32"/>
      <c r="E839" s="32"/>
      <c r="F839" s="32"/>
      <c r="G839" s="33"/>
      <c r="H839" s="4">
        <f>LEN(C839)</f>
        <v>10</v>
      </c>
      <c r="I839" s="11">
        <f>MOD(H839,2)*4+FLOOR(H839/2,1)*6</f>
        <v>30</v>
      </c>
      <c r="J839" s="12" t="str">
        <f>IF(J838&lt;I837,"有效","无效")</f>
        <v>有效</v>
      </c>
      <c r="K839" s="20"/>
      <c r="L839" s="6" t="str">
        <f>IF(R839&lt;=12,"有效","无效")</f>
        <v>有效</v>
      </c>
      <c r="M839" s="31" t="s">
        <v>1510</v>
      </c>
      <c r="N839" s="32"/>
      <c r="O839" s="32"/>
      <c r="P839" s="32"/>
      <c r="Q839" s="33"/>
      <c r="R839" s="10">
        <f>LEN(M839)</f>
        <v>7</v>
      </c>
      <c r="S839" s="10">
        <f>MOD(R839,2)*4+FLOOR(R839/2,1)*6</f>
        <v>22</v>
      </c>
      <c r="T839" s="12" t="str">
        <f>IF(T838&lt;I837,"有效","无效")</f>
        <v>有效</v>
      </c>
    </row>
    <row r="840" spans="1:20" ht="20" customHeight="1">
      <c r="A840" s="22"/>
      <c r="B840" s="6" t="str">
        <f>IF(H840&lt;=12,"有效","无效")</f>
        <v>有效</v>
      </c>
      <c r="C840" s="31" t="s">
        <v>1507</v>
      </c>
      <c r="D840" s="32"/>
      <c r="E840" s="32"/>
      <c r="F840" s="32"/>
      <c r="G840" s="33"/>
      <c r="H840" s="4">
        <f>LEN(C840)</f>
        <v>8</v>
      </c>
      <c r="I840" s="11">
        <f>MOD(H840,2)*4+FLOOR(H840/2,1)*6</f>
        <v>24</v>
      </c>
      <c r="J840" s="12">
        <f>I840+I841</f>
        <v>54</v>
      </c>
      <c r="K840" s="20"/>
      <c r="L840" s="6" t="str">
        <f>IF(R840&lt;=12,"有效","无效")</f>
        <v>有效</v>
      </c>
      <c r="M840" s="31" t="s">
        <v>1511</v>
      </c>
      <c r="N840" s="32"/>
      <c r="O840" s="32"/>
      <c r="P840" s="32"/>
      <c r="Q840" s="33"/>
      <c r="R840" s="10">
        <f>LEN(M840)</f>
        <v>5</v>
      </c>
      <c r="S840" s="10">
        <f>MOD(R840,2)*4+FLOOR(R840/2,1)*6</f>
        <v>16</v>
      </c>
      <c r="T840" s="12">
        <f>S840+S841</f>
        <v>40</v>
      </c>
    </row>
    <row r="841" spans="1:20" ht="20" customHeight="1">
      <c r="A841" s="22"/>
      <c r="B841" s="6" t="str">
        <f>IF(H841&lt;=12,"有效","无效")</f>
        <v>有效</v>
      </c>
      <c r="C841" s="31" t="s">
        <v>1508</v>
      </c>
      <c r="D841" s="32"/>
      <c r="E841" s="32"/>
      <c r="F841" s="32"/>
      <c r="G841" s="33"/>
      <c r="H841" s="4">
        <f>LEN(C841)</f>
        <v>10</v>
      </c>
      <c r="I841" s="11">
        <f>MOD(H841,2)*4+FLOOR(H841/2,1)*6</f>
        <v>30</v>
      </c>
      <c r="J841" s="12" t="str">
        <f>IF(J840&lt;I837,"有效","无效")</f>
        <v>有效</v>
      </c>
      <c r="K841" s="20"/>
      <c r="L841" s="6" t="str">
        <f>IF(R841&lt;=12,"有效","无效")</f>
        <v>有效</v>
      </c>
      <c r="M841" s="31" t="s">
        <v>1512</v>
      </c>
      <c r="N841" s="32"/>
      <c r="O841" s="32"/>
      <c r="P841" s="32"/>
      <c r="Q841" s="33"/>
      <c r="R841" s="10">
        <f>LEN(M841)</f>
        <v>8</v>
      </c>
      <c r="S841" s="10">
        <f>MOD(R841,2)*4+FLOOR(R841/2,1)*6</f>
        <v>24</v>
      </c>
      <c r="T841" s="12" t="str">
        <f>IF(T840&lt;I837,"有效","无效")</f>
        <v>有效</v>
      </c>
    </row>
    <row r="842" spans="1:20" ht="20" customHeight="1">
      <c r="A842" s="22">
        <v>169</v>
      </c>
      <c r="B842" s="23" t="s">
        <v>274</v>
      </c>
      <c r="C842" s="24" t="s">
        <v>63</v>
      </c>
      <c r="D842" s="14">
        <f>LEN($B842)</f>
        <v>3</v>
      </c>
      <c r="E842" s="14">
        <f>LEN(C842)+3</f>
        <v>5</v>
      </c>
      <c r="F842" s="14">
        <f>MOD(D842,2)*4+FLOOR(D842/2,1)*6</f>
        <v>10</v>
      </c>
      <c r="G842" s="14">
        <f>MOD(E842,2)*4+FLOOR(E842/2,1)*6</f>
        <v>16</v>
      </c>
      <c r="H842" s="14">
        <v>12</v>
      </c>
      <c r="I842" s="14">
        <f>108-H842-G842-F842</f>
        <v>70</v>
      </c>
    </row>
    <row r="843" spans="1:20" ht="20" customHeight="1">
      <c r="A843" s="22"/>
      <c r="B843" s="6" t="str">
        <f>IF(H843&lt;=12,"有效","无效")</f>
        <v>有效</v>
      </c>
      <c r="C843" s="31" t="s">
        <v>1513</v>
      </c>
      <c r="D843" s="32"/>
      <c r="E843" s="32"/>
      <c r="F843" s="32"/>
      <c r="G843" s="33"/>
      <c r="H843" s="4">
        <f>LEN(C843)</f>
        <v>10</v>
      </c>
      <c r="I843" s="11">
        <f>MOD(H843,2)*4+FLOOR(H843/2,1)*6</f>
        <v>30</v>
      </c>
      <c r="J843" s="12">
        <f>I843+I844</f>
        <v>58</v>
      </c>
      <c r="K843" s="20"/>
      <c r="L843" s="13" t="str">
        <f>IF(R843&lt;=12,"有效","无效")</f>
        <v>有效</v>
      </c>
      <c r="M843" s="35" t="s">
        <v>1517</v>
      </c>
      <c r="N843" s="35"/>
      <c r="O843" s="35"/>
      <c r="P843" s="35"/>
      <c r="Q843" s="36"/>
      <c r="R843" s="10">
        <f>LEN(M843)</f>
        <v>11</v>
      </c>
      <c r="S843" s="10">
        <f>MOD(R843,2)*4+FLOOR(R843/2,1)*6</f>
        <v>34</v>
      </c>
      <c r="T843" s="12">
        <f>S843+S844</f>
        <v>68</v>
      </c>
    </row>
    <row r="844" spans="1:20" ht="20" customHeight="1">
      <c r="A844" s="22"/>
      <c r="B844" s="6" t="str">
        <f>IF(H844&lt;=12,"有效","无效")</f>
        <v>有效</v>
      </c>
      <c r="C844" s="31" t="s">
        <v>1514</v>
      </c>
      <c r="D844" s="32"/>
      <c r="E844" s="32"/>
      <c r="F844" s="32"/>
      <c r="G844" s="33"/>
      <c r="H844" s="4">
        <f>LEN(C844)</f>
        <v>9</v>
      </c>
      <c r="I844" s="11">
        <f>MOD(H844,2)*4+FLOOR(H844/2,1)*6</f>
        <v>28</v>
      </c>
      <c r="J844" s="12" t="str">
        <f>IF(J843&lt;I842,"有效","无效")</f>
        <v>有效</v>
      </c>
      <c r="K844" s="20"/>
      <c r="L844" s="6" t="str">
        <f>IF(R844&lt;=12,"有效","无效")</f>
        <v>有效</v>
      </c>
      <c r="M844" s="34" t="s">
        <v>1518</v>
      </c>
      <c r="N844" s="35"/>
      <c r="O844" s="35"/>
      <c r="P844" s="35"/>
      <c r="Q844" s="36"/>
      <c r="R844" s="10">
        <f>LEN(M844)</f>
        <v>11</v>
      </c>
      <c r="S844" s="10">
        <f>MOD(R844,2)*4+FLOOR(R844/2,1)*6</f>
        <v>34</v>
      </c>
      <c r="T844" s="12" t="str">
        <f>IF(T843&lt;I842,"有效","无效")</f>
        <v>有效</v>
      </c>
    </row>
    <row r="845" spans="1:20" ht="20" customHeight="1">
      <c r="A845" s="22"/>
      <c r="B845" s="6" t="str">
        <f>IF(H845&lt;=12,"有效","无效")</f>
        <v>有效</v>
      </c>
      <c r="C845" s="31" t="s">
        <v>1515</v>
      </c>
      <c r="D845" s="32"/>
      <c r="E845" s="32"/>
      <c r="F845" s="32"/>
      <c r="G845" s="33"/>
      <c r="H845" s="4">
        <f>LEN(C845)</f>
        <v>8</v>
      </c>
      <c r="I845" s="11">
        <f>MOD(H845,2)*4+FLOOR(H845/2,1)*6</f>
        <v>24</v>
      </c>
      <c r="J845" s="12">
        <f>I845+I846</f>
        <v>42</v>
      </c>
      <c r="K845" s="20"/>
      <c r="L845" s="6" t="str">
        <f>IF(R845&lt;=12,"有效","无效")</f>
        <v>有效</v>
      </c>
      <c r="M845" s="34" t="s">
        <v>1519</v>
      </c>
      <c r="N845" s="35"/>
      <c r="O845" s="35"/>
      <c r="P845" s="35"/>
      <c r="Q845" s="36"/>
      <c r="R845" s="10">
        <f>LEN(M845)</f>
        <v>5</v>
      </c>
      <c r="S845" s="10">
        <f>MOD(R845,2)*4+FLOOR(R845/2,1)*6</f>
        <v>16</v>
      </c>
      <c r="T845" s="12">
        <f>S845+S846</f>
        <v>34</v>
      </c>
    </row>
    <row r="846" spans="1:20" ht="20" customHeight="1">
      <c r="A846" s="22"/>
      <c r="B846" s="6" t="str">
        <f>IF(H846&lt;=12,"有效","无效")</f>
        <v>有效</v>
      </c>
      <c r="C846" s="31" t="s">
        <v>1516</v>
      </c>
      <c r="D846" s="32"/>
      <c r="E846" s="32"/>
      <c r="F846" s="32"/>
      <c r="G846" s="33"/>
      <c r="H846" s="4">
        <f>LEN(C846)</f>
        <v>6</v>
      </c>
      <c r="I846" s="11">
        <f>MOD(H846,2)*4+FLOOR(H846/2,1)*6</f>
        <v>18</v>
      </c>
      <c r="J846" s="12" t="str">
        <f>IF(J845&lt;I842,"有效","无效")</f>
        <v>有效</v>
      </c>
      <c r="K846" s="20"/>
      <c r="L846" s="6" t="str">
        <f>IF(R846&lt;=12,"有效","无效")</f>
        <v>有效</v>
      </c>
      <c r="M846" s="34" t="s">
        <v>1520</v>
      </c>
      <c r="N846" s="35"/>
      <c r="O846" s="35"/>
      <c r="P846" s="35"/>
      <c r="Q846" s="36"/>
      <c r="R846" s="10">
        <f>LEN(M846)</f>
        <v>6</v>
      </c>
      <c r="S846" s="10">
        <f>MOD(R846,2)*4+FLOOR(R846/2,1)*6</f>
        <v>18</v>
      </c>
      <c r="T846" s="12" t="str">
        <f>IF(T845&lt;I842,"有效","无效")</f>
        <v>有效</v>
      </c>
    </row>
    <row r="847" spans="1:20" ht="20" customHeight="1">
      <c r="A847" s="22">
        <v>170</v>
      </c>
      <c r="B847" s="23" t="s">
        <v>275</v>
      </c>
      <c r="C847" s="24" t="s">
        <v>276</v>
      </c>
      <c r="D847" s="14">
        <f>LEN($B847)</f>
        <v>3</v>
      </c>
      <c r="E847" s="14">
        <f>LEN(C847)+3</f>
        <v>6</v>
      </c>
      <c r="F847" s="14">
        <f>MOD(D847,2)*4+FLOOR(D847/2,1)*6</f>
        <v>10</v>
      </c>
      <c r="G847" s="14">
        <f>MOD(E847,2)*4+FLOOR(E847/2,1)*6</f>
        <v>18</v>
      </c>
      <c r="H847" s="14">
        <v>12</v>
      </c>
      <c r="I847" s="14">
        <f>108-H847-G847-F847</f>
        <v>68</v>
      </c>
    </row>
    <row r="848" spans="1:20" ht="20" customHeight="1">
      <c r="A848" s="22"/>
      <c r="B848" s="6" t="str">
        <f>IF(H848&lt;=12,"有效","无效")</f>
        <v>有效</v>
      </c>
      <c r="C848" s="31" t="s">
        <v>1521</v>
      </c>
      <c r="D848" s="32"/>
      <c r="E848" s="32"/>
      <c r="F848" s="32"/>
      <c r="G848" s="33"/>
      <c r="H848" s="4">
        <f>LEN(C848)</f>
        <v>4</v>
      </c>
      <c r="I848" s="11">
        <f>MOD(H848,2)*4+FLOOR(H848/2,1)*6</f>
        <v>12</v>
      </c>
      <c r="J848" s="12">
        <f>I848+I849</f>
        <v>28</v>
      </c>
      <c r="K848" s="20"/>
      <c r="L848" s="13" t="str">
        <f>IF(R848&lt;=12,"有效","无效")</f>
        <v>有效</v>
      </c>
      <c r="M848" s="32" t="s">
        <v>2345</v>
      </c>
      <c r="N848" s="32"/>
      <c r="O848" s="32"/>
      <c r="P848" s="32"/>
      <c r="Q848" s="33"/>
      <c r="R848" s="10">
        <f>LEN(M848)</f>
        <v>4</v>
      </c>
      <c r="S848" s="10">
        <f>MOD(R848,2)*4+FLOOR(R848/2,1)*6</f>
        <v>12</v>
      </c>
      <c r="T848" s="12">
        <f>S848+S849</f>
        <v>22</v>
      </c>
    </row>
    <row r="849" spans="1:20" ht="20" customHeight="1">
      <c r="A849" s="22"/>
      <c r="B849" s="6" t="str">
        <f>IF(H849&lt;=12,"有效","无效")</f>
        <v>有效</v>
      </c>
      <c r="C849" s="31" t="s">
        <v>1522</v>
      </c>
      <c r="D849" s="32"/>
      <c r="E849" s="32"/>
      <c r="F849" s="32"/>
      <c r="G849" s="33"/>
      <c r="H849" s="4">
        <f>LEN(C849)</f>
        <v>5</v>
      </c>
      <c r="I849" s="11">
        <f>MOD(H849,2)*4+FLOOR(H849/2,1)*6</f>
        <v>16</v>
      </c>
      <c r="J849" s="12" t="str">
        <f>IF(J848&lt;I847,"有效","无效")</f>
        <v>有效</v>
      </c>
      <c r="K849" s="20"/>
      <c r="L849" s="6" t="str">
        <f>IF(R849&lt;=12,"有效","无效")</f>
        <v>有效</v>
      </c>
      <c r="M849" s="31" t="s">
        <v>2346</v>
      </c>
      <c r="N849" s="32"/>
      <c r="O849" s="32"/>
      <c r="P849" s="32"/>
      <c r="Q849" s="33"/>
      <c r="R849" s="10">
        <f>LEN(M849)</f>
        <v>3</v>
      </c>
      <c r="S849" s="10">
        <f>MOD(R849,2)*4+FLOOR(R849/2,1)*6</f>
        <v>10</v>
      </c>
      <c r="T849" s="12" t="str">
        <f>IF(T848&lt;I847,"有效","无效")</f>
        <v>有效</v>
      </c>
    </row>
    <row r="850" spans="1:20" ht="20" customHeight="1">
      <c r="A850" s="22"/>
      <c r="B850" s="6" t="str">
        <f>IF(H850&lt;=12,"有效","无效")</f>
        <v>有效</v>
      </c>
      <c r="C850" s="31" t="s">
        <v>1523</v>
      </c>
      <c r="D850" s="32"/>
      <c r="E850" s="32"/>
      <c r="F850" s="32"/>
      <c r="G850" s="33"/>
      <c r="H850" s="4">
        <f>LEN(C850)</f>
        <v>5</v>
      </c>
      <c r="I850" s="11">
        <f>MOD(H850,2)*4+FLOOR(H850/2,1)*6</f>
        <v>16</v>
      </c>
      <c r="J850" s="12">
        <f>I850+I851</f>
        <v>34</v>
      </c>
      <c r="K850" s="20"/>
      <c r="L850" s="6" t="str">
        <f>IF(R850&lt;=12,"有效","无效")</f>
        <v>有效</v>
      </c>
      <c r="M850" s="31" t="s">
        <v>1525</v>
      </c>
      <c r="N850" s="32"/>
      <c r="O850" s="32"/>
      <c r="P850" s="32"/>
      <c r="Q850" s="33"/>
      <c r="R850" s="10">
        <f>LEN(M850)</f>
        <v>10</v>
      </c>
      <c r="S850" s="10">
        <f>MOD(R850,2)*4+FLOOR(R850/2,1)*6</f>
        <v>30</v>
      </c>
      <c r="T850" s="12">
        <f>S850+S851</f>
        <v>64</v>
      </c>
    </row>
    <row r="851" spans="1:20" ht="20" customHeight="1">
      <c r="A851" s="22"/>
      <c r="B851" s="6" t="str">
        <f>IF(H851&lt;=12,"有效","无效")</f>
        <v>有效</v>
      </c>
      <c r="C851" s="31" t="s">
        <v>1524</v>
      </c>
      <c r="D851" s="32"/>
      <c r="E851" s="32"/>
      <c r="F851" s="32"/>
      <c r="G851" s="33"/>
      <c r="H851" s="4">
        <f>LEN(C851)</f>
        <v>6</v>
      </c>
      <c r="I851" s="11">
        <f>MOD(H851,2)*4+FLOOR(H851/2,1)*6</f>
        <v>18</v>
      </c>
      <c r="J851" s="12" t="str">
        <f>IF(J850&lt;I847,"有效","无效")</f>
        <v>有效</v>
      </c>
      <c r="K851" s="20"/>
      <c r="L851" s="6" t="str">
        <f>IF(R851&lt;=12,"有效","无效")</f>
        <v>有效</v>
      </c>
      <c r="M851" s="31" t="s">
        <v>2344</v>
      </c>
      <c r="N851" s="32"/>
      <c r="O851" s="32"/>
      <c r="P851" s="32"/>
      <c r="Q851" s="33"/>
      <c r="R851" s="10">
        <f>LEN(M851)</f>
        <v>11</v>
      </c>
      <c r="S851" s="10">
        <f>MOD(R851,2)*4+FLOOR(R851/2,1)*6</f>
        <v>34</v>
      </c>
      <c r="T851" s="12" t="str">
        <f>IF(T850&lt;I847,"有效","无效")</f>
        <v>有效</v>
      </c>
    </row>
    <row r="852" spans="1:20" ht="20" customHeight="1">
      <c r="A852" s="22">
        <v>171</v>
      </c>
      <c r="B852" s="23" t="s">
        <v>277</v>
      </c>
      <c r="C852" s="24" t="s">
        <v>278</v>
      </c>
      <c r="D852" s="14">
        <f>LEN($B852)</f>
        <v>3</v>
      </c>
      <c r="E852" s="14">
        <f>LEN(C852)+3</f>
        <v>4</v>
      </c>
      <c r="F852" s="14">
        <f>MOD(D852,2)*4+FLOOR(D852/2,1)*6</f>
        <v>10</v>
      </c>
      <c r="G852" s="14">
        <f>MOD(E852,2)*4+FLOOR(E852/2,1)*6</f>
        <v>12</v>
      </c>
      <c r="H852" s="14">
        <v>12</v>
      </c>
      <c r="I852" s="14">
        <f>108-H852-G852-F852</f>
        <v>74</v>
      </c>
    </row>
    <row r="853" spans="1:20" ht="20" customHeight="1">
      <c r="A853" s="22"/>
      <c r="B853" s="6" t="str">
        <f>IF(H853&lt;=12,"有效","无效")</f>
        <v>有效</v>
      </c>
      <c r="C853" s="31" t="s">
        <v>1526</v>
      </c>
      <c r="D853" s="32"/>
      <c r="E853" s="32"/>
      <c r="F853" s="32"/>
      <c r="G853" s="33"/>
      <c r="H853" s="4">
        <f>LEN(C853)</f>
        <v>7</v>
      </c>
      <c r="I853" s="11">
        <f>MOD(H853,2)*4+FLOOR(H853/2,1)*6</f>
        <v>22</v>
      </c>
      <c r="J853" s="12">
        <f>I853+I854</f>
        <v>46</v>
      </c>
      <c r="K853" s="20"/>
      <c r="L853" s="13" t="str">
        <f>IF(R853&lt;=12,"有效","无效")</f>
        <v>有效</v>
      </c>
      <c r="M853" s="32" t="s">
        <v>1530</v>
      </c>
      <c r="N853" s="32"/>
      <c r="O853" s="32"/>
      <c r="P853" s="32"/>
      <c r="Q853" s="33"/>
      <c r="R853" s="10">
        <f>LEN(M853)</f>
        <v>8</v>
      </c>
      <c r="S853" s="10">
        <f>MOD(R853,2)*4+FLOOR(R853/2,1)*6</f>
        <v>24</v>
      </c>
      <c r="T853" s="12">
        <f>S853+S854</f>
        <v>40</v>
      </c>
    </row>
    <row r="854" spans="1:20" ht="20" customHeight="1">
      <c r="A854" s="22"/>
      <c r="B854" s="6" t="str">
        <f>IF(H854&lt;=12,"有效","无效")</f>
        <v>有效</v>
      </c>
      <c r="C854" s="31" t="s">
        <v>1527</v>
      </c>
      <c r="D854" s="32"/>
      <c r="E854" s="32"/>
      <c r="F854" s="32"/>
      <c r="G854" s="33"/>
      <c r="H854" s="4">
        <f>LEN(C854)</f>
        <v>8</v>
      </c>
      <c r="I854" s="11">
        <f>MOD(H854,2)*4+FLOOR(H854/2,1)*6</f>
        <v>24</v>
      </c>
      <c r="J854" s="12" t="str">
        <f>IF(J853&lt;I852,"有效","无效")</f>
        <v>有效</v>
      </c>
      <c r="K854" s="20"/>
      <c r="L854" s="6" t="str">
        <f>IF(R854&lt;=12,"有效","无效")</f>
        <v>有效</v>
      </c>
      <c r="M854" s="31" t="s">
        <v>1531</v>
      </c>
      <c r="N854" s="32"/>
      <c r="O854" s="32"/>
      <c r="P854" s="32"/>
      <c r="Q854" s="33"/>
      <c r="R854" s="10">
        <f>LEN(M854)</f>
        <v>5</v>
      </c>
      <c r="S854" s="10">
        <f>MOD(R854,2)*4+FLOOR(R854/2,1)*6</f>
        <v>16</v>
      </c>
      <c r="T854" s="12" t="str">
        <f>IF(T853&lt;I852,"有效","无效")</f>
        <v>有效</v>
      </c>
    </row>
    <row r="855" spans="1:20" ht="20" customHeight="1">
      <c r="A855" s="22"/>
      <c r="B855" s="6" t="str">
        <f>IF(H855&lt;=12,"有效","无效")</f>
        <v>有效</v>
      </c>
      <c r="C855" s="31" t="s">
        <v>1528</v>
      </c>
      <c r="D855" s="32"/>
      <c r="E855" s="32"/>
      <c r="F855" s="32"/>
      <c r="G855" s="33"/>
      <c r="H855" s="4">
        <f>LEN(C855)</f>
        <v>10</v>
      </c>
      <c r="I855" s="11">
        <f>MOD(H855,2)*4+FLOOR(H855/2,1)*6</f>
        <v>30</v>
      </c>
      <c r="J855" s="12">
        <f>I855+I856</f>
        <v>58</v>
      </c>
      <c r="K855" s="20"/>
      <c r="L855" s="6" t="str">
        <f>IF(R855&lt;=12,"有效","无效")</f>
        <v>有效</v>
      </c>
      <c r="M855" s="31" t="s">
        <v>1532</v>
      </c>
      <c r="N855" s="32"/>
      <c r="O855" s="32"/>
      <c r="P855" s="32"/>
      <c r="Q855" s="33"/>
      <c r="R855" s="10">
        <f>LEN(M855)</f>
        <v>10</v>
      </c>
      <c r="S855" s="10">
        <f>MOD(R855,2)*4+FLOOR(R855/2,1)*6</f>
        <v>30</v>
      </c>
      <c r="T855" s="12">
        <f>S855+S856</f>
        <v>52</v>
      </c>
    </row>
    <row r="856" spans="1:20" ht="20" customHeight="1">
      <c r="A856" s="22"/>
      <c r="B856" s="6" t="str">
        <f>IF(H856&lt;=12,"有效","无效")</f>
        <v>有效</v>
      </c>
      <c r="C856" s="31" t="s">
        <v>1529</v>
      </c>
      <c r="D856" s="32"/>
      <c r="E856" s="32"/>
      <c r="F856" s="32"/>
      <c r="G856" s="33"/>
      <c r="H856" s="4">
        <f>LEN(C856)</f>
        <v>9</v>
      </c>
      <c r="I856" s="11">
        <f>MOD(H856,2)*4+FLOOR(H856/2,1)*6</f>
        <v>28</v>
      </c>
      <c r="J856" s="12" t="str">
        <f>IF(J855&lt;I852,"有效","无效")</f>
        <v>有效</v>
      </c>
      <c r="K856" s="20"/>
      <c r="L856" s="6" t="str">
        <f>IF(R856&lt;=12,"有效","无效")</f>
        <v>有效</v>
      </c>
      <c r="M856" s="31" t="s">
        <v>1533</v>
      </c>
      <c r="N856" s="32"/>
      <c r="O856" s="32"/>
      <c r="P856" s="32"/>
      <c r="Q856" s="33"/>
      <c r="R856" s="10">
        <f>LEN(M856)</f>
        <v>7</v>
      </c>
      <c r="S856" s="10">
        <f>MOD(R856,2)*4+FLOOR(R856/2,1)*6</f>
        <v>22</v>
      </c>
      <c r="T856" s="12" t="str">
        <f>IF(T855&lt;I852,"有效","无效")</f>
        <v>有效</v>
      </c>
    </row>
    <row r="857" spans="1:20" ht="20" customHeight="1">
      <c r="A857" s="22">
        <v>172</v>
      </c>
      <c r="B857" s="23" t="s">
        <v>279</v>
      </c>
      <c r="C857" s="24" t="s">
        <v>280</v>
      </c>
      <c r="D857" s="14">
        <f>LEN($B857)</f>
        <v>2</v>
      </c>
      <c r="E857" s="14">
        <f>LEN(C857)+3</f>
        <v>5</v>
      </c>
      <c r="F857" s="14">
        <f>MOD(D857,2)*4+FLOOR(D857/2,1)*6</f>
        <v>6</v>
      </c>
      <c r="G857" s="14">
        <f>MOD(E857,2)*4+FLOOR(E857/2,1)*6</f>
        <v>16</v>
      </c>
      <c r="H857" s="14">
        <v>12</v>
      </c>
      <c r="I857" s="14">
        <f>108-H857-G857-F857</f>
        <v>74</v>
      </c>
    </row>
    <row r="858" spans="1:20" ht="20" customHeight="1">
      <c r="A858" s="22"/>
      <c r="B858" s="6" t="str">
        <f>IF(H858&lt;=12,"有效","无效")</f>
        <v>有效</v>
      </c>
      <c r="C858" s="31" t="s">
        <v>1534</v>
      </c>
      <c r="D858" s="32"/>
      <c r="E858" s="32"/>
      <c r="F858" s="32"/>
      <c r="G858" s="33"/>
      <c r="H858" s="4">
        <f>LEN(C858)</f>
        <v>8</v>
      </c>
      <c r="I858" s="11">
        <f>MOD(H858,2)*4+FLOOR(H858/2,1)*6</f>
        <v>24</v>
      </c>
      <c r="J858" s="12">
        <f>I858+I859</f>
        <v>48</v>
      </c>
      <c r="K858" s="20"/>
      <c r="L858" s="13" t="str">
        <f>IF(R858&lt;=12,"有效","无效")</f>
        <v>有效</v>
      </c>
      <c r="M858" s="32" t="s">
        <v>1538</v>
      </c>
      <c r="N858" s="32"/>
      <c r="O858" s="32"/>
      <c r="P858" s="32"/>
      <c r="Q858" s="33"/>
      <c r="R858" s="10">
        <f>LEN(M858)</f>
        <v>11</v>
      </c>
      <c r="S858" s="10">
        <f>MOD(R858,2)*4+FLOOR(R858/2,1)*6</f>
        <v>34</v>
      </c>
      <c r="T858" s="12">
        <f>S858+S859</f>
        <v>70</v>
      </c>
    </row>
    <row r="859" spans="1:20" ht="20" customHeight="1">
      <c r="A859" s="22"/>
      <c r="B859" s="6" t="str">
        <f>IF(H859&lt;=12,"有效","无效")</f>
        <v>有效</v>
      </c>
      <c r="C859" s="31" t="s">
        <v>1535</v>
      </c>
      <c r="D859" s="32"/>
      <c r="E859" s="32"/>
      <c r="F859" s="32"/>
      <c r="G859" s="33"/>
      <c r="H859" s="4">
        <f>LEN(C859)</f>
        <v>8</v>
      </c>
      <c r="I859" s="11">
        <f>MOD(H859,2)*4+FLOOR(H859/2,1)*6</f>
        <v>24</v>
      </c>
      <c r="J859" s="12" t="str">
        <f>IF(J858&lt;I857,"有效","无效")</f>
        <v>有效</v>
      </c>
      <c r="K859" s="20"/>
      <c r="L859" s="6" t="str">
        <f>IF(R859&lt;=12,"有效","无效")</f>
        <v>有效</v>
      </c>
      <c r="M859" s="31" t="s">
        <v>1539</v>
      </c>
      <c r="N859" s="32"/>
      <c r="O859" s="32"/>
      <c r="P859" s="32"/>
      <c r="Q859" s="33"/>
      <c r="R859" s="10">
        <f>LEN(M859)</f>
        <v>12</v>
      </c>
      <c r="S859" s="10">
        <f>MOD(R859,2)*4+FLOOR(R859/2,1)*6</f>
        <v>36</v>
      </c>
      <c r="T859" s="12" t="str">
        <f>IF(T858&lt;I857,"有效","无效")</f>
        <v>有效</v>
      </c>
    </row>
    <row r="860" spans="1:20" ht="20" customHeight="1">
      <c r="A860" s="22"/>
      <c r="B860" s="6" t="str">
        <f>IF(H860&lt;=12,"有效","无效")</f>
        <v>有效</v>
      </c>
      <c r="C860" s="31" t="s">
        <v>1536</v>
      </c>
      <c r="D860" s="32"/>
      <c r="E860" s="32"/>
      <c r="F860" s="32"/>
      <c r="G860" s="33"/>
      <c r="H860" s="4">
        <f>LEN(C860)</f>
        <v>4</v>
      </c>
      <c r="I860" s="11">
        <f>MOD(H860,2)*4+FLOOR(H860/2,1)*6</f>
        <v>12</v>
      </c>
      <c r="J860" s="12">
        <f>I860+I861</f>
        <v>28</v>
      </c>
      <c r="K860" s="20"/>
      <c r="L860" s="6" t="str">
        <f>IF(R860&lt;=12,"有效","无效")</f>
        <v>有效</v>
      </c>
      <c r="M860" s="31" t="s">
        <v>1540</v>
      </c>
      <c r="N860" s="32"/>
      <c r="O860" s="32"/>
      <c r="P860" s="32"/>
      <c r="Q860" s="33"/>
      <c r="R860" s="10">
        <f>LEN(M860)</f>
        <v>6</v>
      </c>
      <c r="S860" s="10">
        <f>MOD(R860,2)*4+FLOOR(R860/2,1)*6</f>
        <v>18</v>
      </c>
      <c r="T860" s="12">
        <f>S860+S861</f>
        <v>36</v>
      </c>
    </row>
    <row r="861" spans="1:20" ht="20" customHeight="1">
      <c r="A861" s="22"/>
      <c r="B861" s="6" t="str">
        <f>IF(H861&lt;=12,"有效","无效")</f>
        <v>有效</v>
      </c>
      <c r="C861" s="31" t="s">
        <v>1537</v>
      </c>
      <c r="D861" s="32"/>
      <c r="E861" s="32"/>
      <c r="F861" s="32"/>
      <c r="G861" s="33"/>
      <c r="H861" s="4">
        <f>LEN(C861)</f>
        <v>5</v>
      </c>
      <c r="I861" s="11">
        <f>MOD(H861,2)*4+FLOOR(H861/2,1)*6</f>
        <v>16</v>
      </c>
      <c r="J861" s="12" t="str">
        <f>IF(J860&lt;I857,"有效","无效")</f>
        <v>有效</v>
      </c>
      <c r="K861" s="20"/>
      <c r="L861" s="6" t="str">
        <f>IF(R861&lt;=12,"有效","无效")</f>
        <v>有效</v>
      </c>
      <c r="M861" s="31" t="s">
        <v>1541</v>
      </c>
      <c r="N861" s="32"/>
      <c r="O861" s="32"/>
      <c r="P861" s="32"/>
      <c r="Q861" s="33"/>
      <c r="R861" s="10">
        <f>LEN(M861)</f>
        <v>6</v>
      </c>
      <c r="S861" s="10">
        <f>MOD(R861,2)*4+FLOOR(R861/2,1)*6</f>
        <v>18</v>
      </c>
      <c r="T861" s="12" t="str">
        <f>IF(T860&lt;I857,"有效","无效")</f>
        <v>有效</v>
      </c>
    </row>
    <row r="862" spans="1:20" ht="20" customHeight="1">
      <c r="A862" s="22">
        <v>173</v>
      </c>
      <c r="B862" s="23" t="s">
        <v>281</v>
      </c>
      <c r="C862" s="24" t="s">
        <v>191</v>
      </c>
      <c r="D862" s="14">
        <f>LEN($B862)</f>
        <v>3</v>
      </c>
      <c r="E862" s="14">
        <f>LEN(C862)+3</f>
        <v>5</v>
      </c>
      <c r="F862" s="14">
        <f>MOD(D862,2)*4+FLOOR(D862/2,1)*6</f>
        <v>10</v>
      </c>
      <c r="G862" s="14">
        <f>MOD(E862,2)*4+FLOOR(E862/2,1)*6</f>
        <v>16</v>
      </c>
      <c r="H862" s="14">
        <v>12</v>
      </c>
      <c r="I862" s="14">
        <f>108-H862-G862-F862</f>
        <v>70</v>
      </c>
    </row>
    <row r="863" spans="1:20" ht="20" customHeight="1">
      <c r="A863" s="22"/>
      <c r="B863" s="6" t="str">
        <f>IF(H863&lt;=12,"有效","无效")</f>
        <v>有效</v>
      </c>
      <c r="C863" s="31" t="s">
        <v>1542</v>
      </c>
      <c r="D863" s="32"/>
      <c r="E863" s="32"/>
      <c r="F863" s="32"/>
      <c r="G863" s="33"/>
      <c r="H863" s="4">
        <f>LEN(C863)</f>
        <v>10</v>
      </c>
      <c r="I863" s="11">
        <f>MOD(H863,2)*4+FLOOR(H863/2,1)*6</f>
        <v>30</v>
      </c>
      <c r="J863" s="12">
        <f>I863+I864</f>
        <v>48</v>
      </c>
      <c r="K863" s="20"/>
      <c r="L863" s="13" t="str">
        <f>IF(R863&lt;=12,"有效","无效")</f>
        <v>有效</v>
      </c>
      <c r="M863" s="35" t="s">
        <v>2349</v>
      </c>
      <c r="N863" s="35"/>
      <c r="O863" s="35"/>
      <c r="P863" s="35"/>
      <c r="Q863" s="36"/>
      <c r="R863" s="10">
        <f>LEN(M863)</f>
        <v>4</v>
      </c>
      <c r="S863" s="10">
        <f>MOD(R863,2)*4+FLOOR(R863/2,1)*6</f>
        <v>12</v>
      </c>
      <c r="T863" s="12">
        <f>S863+S864</f>
        <v>22</v>
      </c>
    </row>
    <row r="864" spans="1:20" ht="20" customHeight="1">
      <c r="A864" s="22"/>
      <c r="B864" s="6" t="str">
        <f>IF(H864&lt;=12,"有效","无效")</f>
        <v>有效</v>
      </c>
      <c r="C864" s="31" t="s">
        <v>1543</v>
      </c>
      <c r="D864" s="32"/>
      <c r="E864" s="32"/>
      <c r="F864" s="32"/>
      <c r="G864" s="33"/>
      <c r="H864" s="4">
        <f>LEN(C864)</f>
        <v>6</v>
      </c>
      <c r="I864" s="11">
        <f>MOD(H864,2)*4+FLOOR(H864/2,1)*6</f>
        <v>18</v>
      </c>
      <c r="J864" s="12" t="str">
        <f>IF(J863&lt;I862,"有效","无效")</f>
        <v>有效</v>
      </c>
      <c r="K864" s="20"/>
      <c r="L864" s="6" t="str">
        <f>IF(R864&lt;=12,"有效","无效")</f>
        <v>有效</v>
      </c>
      <c r="M864" s="34" t="s">
        <v>2350</v>
      </c>
      <c r="N864" s="35"/>
      <c r="O864" s="35"/>
      <c r="P864" s="35"/>
      <c r="Q864" s="36"/>
      <c r="R864" s="10">
        <f>LEN(M864)</f>
        <v>3</v>
      </c>
      <c r="S864" s="10">
        <f>MOD(R864,2)*4+FLOOR(R864/2,1)*6</f>
        <v>10</v>
      </c>
      <c r="T864" s="12" t="str">
        <f>IF(T863&lt;I862,"有效","无效")</f>
        <v>有效</v>
      </c>
    </row>
    <row r="865" spans="1:20" ht="20" customHeight="1">
      <c r="A865" s="22"/>
      <c r="B865" s="6" t="str">
        <f>IF(H865&lt;=12,"有效","无效")</f>
        <v>有效</v>
      </c>
      <c r="C865" s="31" t="s">
        <v>1544</v>
      </c>
      <c r="D865" s="32"/>
      <c r="E865" s="32"/>
      <c r="F865" s="32"/>
      <c r="G865" s="33"/>
      <c r="H865" s="4">
        <f>LEN(C865)</f>
        <v>6</v>
      </c>
      <c r="I865" s="11">
        <f>MOD(H865,2)*4+FLOOR(H865/2,1)*6</f>
        <v>18</v>
      </c>
      <c r="J865" s="12">
        <f>I865+I866</f>
        <v>42</v>
      </c>
      <c r="K865" s="20"/>
      <c r="L865" s="6" t="str">
        <f>IF(R865&lt;=12,"有效","无效")</f>
        <v>有效</v>
      </c>
      <c r="M865" s="34" t="s">
        <v>2347</v>
      </c>
      <c r="N865" s="35"/>
      <c r="O865" s="35"/>
      <c r="P865" s="35"/>
      <c r="Q865" s="36"/>
      <c r="R865" s="10">
        <f>LEN(M865)</f>
        <v>10</v>
      </c>
      <c r="S865" s="10">
        <f>MOD(R865,2)*4+FLOOR(R865/2,1)*6</f>
        <v>30</v>
      </c>
      <c r="T865" s="12">
        <f>S865+S866</f>
        <v>60</v>
      </c>
    </row>
    <row r="866" spans="1:20" ht="20" customHeight="1">
      <c r="A866" s="22"/>
      <c r="B866" s="6" t="str">
        <f>IF(H866&lt;=12,"有效","无效")</f>
        <v>有效</v>
      </c>
      <c r="C866" s="31" t="s">
        <v>1545</v>
      </c>
      <c r="D866" s="32"/>
      <c r="E866" s="32"/>
      <c r="F866" s="32"/>
      <c r="G866" s="33"/>
      <c r="H866" s="4">
        <f>LEN(C866)</f>
        <v>8</v>
      </c>
      <c r="I866" s="11">
        <f>MOD(H866,2)*4+FLOOR(H866/2,1)*6</f>
        <v>24</v>
      </c>
      <c r="J866" s="12" t="str">
        <f>IF(J865&lt;I862,"有效","无效")</f>
        <v>有效</v>
      </c>
      <c r="K866" s="20"/>
      <c r="L866" s="6" t="str">
        <f>IF(R866&lt;=12,"有效","无效")</f>
        <v>有效</v>
      </c>
      <c r="M866" s="34" t="s">
        <v>2348</v>
      </c>
      <c r="N866" s="35"/>
      <c r="O866" s="35"/>
      <c r="P866" s="35"/>
      <c r="Q866" s="36"/>
      <c r="R866" s="10">
        <f>LEN(M866)</f>
        <v>10</v>
      </c>
      <c r="S866" s="10">
        <f>MOD(R866,2)*4+FLOOR(R866/2,1)*6</f>
        <v>30</v>
      </c>
      <c r="T866" s="12" t="str">
        <f>IF(T865&lt;I862,"有效","无效")</f>
        <v>有效</v>
      </c>
    </row>
    <row r="867" spans="1:20" ht="20" customHeight="1">
      <c r="A867" s="22">
        <v>174</v>
      </c>
      <c r="B867" s="23" t="s">
        <v>282</v>
      </c>
      <c r="C867" s="24" t="s">
        <v>60</v>
      </c>
      <c r="D867" s="14">
        <f>LEN($B867)</f>
        <v>3</v>
      </c>
      <c r="E867" s="14">
        <f>LEN(C867)+3</f>
        <v>5</v>
      </c>
      <c r="F867" s="14">
        <f>MOD(D867,2)*4+FLOOR(D867/2,1)*6</f>
        <v>10</v>
      </c>
      <c r="G867" s="14">
        <f>MOD(E867,2)*4+FLOOR(E867/2,1)*6</f>
        <v>16</v>
      </c>
      <c r="H867" s="14">
        <v>12</v>
      </c>
      <c r="I867" s="14">
        <f>108-H867-G867-F867</f>
        <v>70</v>
      </c>
    </row>
    <row r="868" spans="1:20" ht="20" customHeight="1">
      <c r="A868" s="22"/>
      <c r="B868" s="6" t="str">
        <f>IF(H868&lt;=12,"有效","无效")</f>
        <v>有效</v>
      </c>
      <c r="C868" s="31" t="s">
        <v>1546</v>
      </c>
      <c r="D868" s="32"/>
      <c r="E868" s="32"/>
      <c r="F868" s="32"/>
      <c r="G868" s="33"/>
      <c r="H868" s="4">
        <f>LEN(C868)</f>
        <v>8</v>
      </c>
      <c r="I868" s="11">
        <f>MOD(H868,2)*4+FLOOR(H868/2,1)*6</f>
        <v>24</v>
      </c>
      <c r="J868" s="12">
        <f>I868+I869</f>
        <v>42</v>
      </c>
      <c r="K868" s="20"/>
      <c r="L868" s="13" t="str">
        <f>IF(R868&lt;=12,"有效","无效")</f>
        <v>有效</v>
      </c>
      <c r="M868" s="35" t="s">
        <v>1550</v>
      </c>
      <c r="N868" s="35"/>
      <c r="O868" s="35"/>
      <c r="P868" s="35"/>
      <c r="Q868" s="36"/>
      <c r="R868" s="10">
        <f>LEN(M868)</f>
        <v>4</v>
      </c>
      <c r="S868" s="10">
        <f>MOD(R868,2)*4+FLOOR(R868/2,1)*6</f>
        <v>12</v>
      </c>
      <c r="T868" s="12">
        <f>S868+S869</f>
        <v>34</v>
      </c>
    </row>
    <row r="869" spans="1:20" ht="20" customHeight="1">
      <c r="A869" s="22"/>
      <c r="B869" s="6" t="str">
        <f>IF(H869&lt;=12,"有效","无效")</f>
        <v>有效</v>
      </c>
      <c r="C869" s="31" t="s">
        <v>1547</v>
      </c>
      <c r="D869" s="32"/>
      <c r="E869" s="32"/>
      <c r="F869" s="32"/>
      <c r="G869" s="33"/>
      <c r="H869" s="4">
        <f>LEN(C869)</f>
        <v>6</v>
      </c>
      <c r="I869" s="11">
        <f>MOD(H869,2)*4+FLOOR(H869/2,1)*6</f>
        <v>18</v>
      </c>
      <c r="J869" s="12" t="str">
        <f>IF(J868&lt;I867,"有效","无效")</f>
        <v>有效</v>
      </c>
      <c r="K869" s="20"/>
      <c r="L869" s="6" t="str">
        <f>IF(R869&lt;=12,"有效","无效")</f>
        <v>有效</v>
      </c>
      <c r="M869" s="34" t="s">
        <v>1551</v>
      </c>
      <c r="N869" s="35"/>
      <c r="O869" s="35"/>
      <c r="P869" s="35"/>
      <c r="Q869" s="36"/>
      <c r="R869" s="10">
        <f>LEN(M869)</f>
        <v>7</v>
      </c>
      <c r="S869" s="10">
        <f>MOD(R869,2)*4+FLOOR(R869/2,1)*6</f>
        <v>22</v>
      </c>
      <c r="T869" s="12" t="str">
        <f>IF(T868&lt;I867,"有效","无效")</f>
        <v>有效</v>
      </c>
    </row>
    <row r="870" spans="1:20" ht="20" customHeight="1">
      <c r="A870" s="22"/>
      <c r="B870" s="6" t="str">
        <f>IF(H870&lt;=12,"有效","无效")</f>
        <v>有效</v>
      </c>
      <c r="C870" s="31" t="s">
        <v>1548</v>
      </c>
      <c r="D870" s="32"/>
      <c r="E870" s="32"/>
      <c r="F870" s="32"/>
      <c r="G870" s="33"/>
      <c r="H870" s="4">
        <f>LEN(C870)</f>
        <v>7</v>
      </c>
      <c r="I870" s="11">
        <f>MOD(H870,2)*4+FLOOR(H870/2,1)*6</f>
        <v>22</v>
      </c>
      <c r="J870" s="12">
        <f>I870+I871</f>
        <v>44</v>
      </c>
      <c r="K870" s="20"/>
      <c r="L870" s="6" t="str">
        <f>IF(R870&lt;=12,"有效","无效")</f>
        <v>有效</v>
      </c>
      <c r="M870" s="34" t="s">
        <v>1552</v>
      </c>
      <c r="N870" s="35"/>
      <c r="O870" s="35"/>
      <c r="P870" s="35"/>
      <c r="Q870" s="36"/>
      <c r="R870" s="10">
        <f>LEN(M870)</f>
        <v>10</v>
      </c>
      <c r="S870" s="10">
        <f>MOD(R870,2)*4+FLOOR(R870/2,1)*6</f>
        <v>30</v>
      </c>
      <c r="T870" s="12">
        <f>S870+S871</f>
        <v>46</v>
      </c>
    </row>
    <row r="871" spans="1:20" ht="20" customHeight="1">
      <c r="A871" s="22"/>
      <c r="B871" s="6" t="str">
        <f>IF(H871&lt;=12,"有效","无效")</f>
        <v>有效</v>
      </c>
      <c r="C871" s="31" t="s">
        <v>1549</v>
      </c>
      <c r="D871" s="32"/>
      <c r="E871" s="32"/>
      <c r="F871" s="32"/>
      <c r="G871" s="33"/>
      <c r="H871" s="4">
        <f>LEN(C871)</f>
        <v>7</v>
      </c>
      <c r="I871" s="11">
        <f>MOD(H871,2)*4+FLOOR(H871/2,1)*6</f>
        <v>22</v>
      </c>
      <c r="J871" s="12" t="str">
        <f>IF(J870&lt;I867,"有效","无效")</f>
        <v>有效</v>
      </c>
      <c r="K871" s="20"/>
      <c r="L871" s="6" t="str">
        <f>IF(R871&lt;=12,"有效","无效")</f>
        <v>有效</v>
      </c>
      <c r="M871" s="34" t="s">
        <v>1553</v>
      </c>
      <c r="N871" s="35"/>
      <c r="O871" s="35"/>
      <c r="P871" s="35"/>
      <c r="Q871" s="36"/>
      <c r="R871" s="10">
        <f>LEN(M871)</f>
        <v>5</v>
      </c>
      <c r="S871" s="10">
        <f>MOD(R871,2)*4+FLOOR(R871/2,1)*6</f>
        <v>16</v>
      </c>
      <c r="T871" s="12" t="str">
        <f>IF(T870&lt;I867,"有效","无效")</f>
        <v>有效</v>
      </c>
    </row>
    <row r="872" spans="1:20" ht="20" customHeight="1">
      <c r="A872" s="22">
        <v>175</v>
      </c>
      <c r="B872" s="23" t="s">
        <v>283</v>
      </c>
      <c r="C872" s="24" t="s">
        <v>284</v>
      </c>
      <c r="D872" s="14">
        <f>LEN($B872)</f>
        <v>3</v>
      </c>
      <c r="E872" s="14">
        <f>LEN(C872)+3</f>
        <v>5</v>
      </c>
      <c r="F872" s="14">
        <f>MOD(D872,2)*4+FLOOR(D872/2,1)*6</f>
        <v>10</v>
      </c>
      <c r="G872" s="14">
        <f>MOD(E872,2)*4+FLOOR(E872/2,1)*6</f>
        <v>16</v>
      </c>
      <c r="H872" s="14">
        <v>12</v>
      </c>
      <c r="I872" s="14">
        <f>108-H872-G872-F872</f>
        <v>70</v>
      </c>
    </row>
    <row r="873" spans="1:20" ht="20" customHeight="1">
      <c r="A873" s="22"/>
      <c r="B873" s="6" t="str">
        <f>IF(H873&lt;=12,"有效","无效")</f>
        <v>有效</v>
      </c>
      <c r="C873" s="31" t="s">
        <v>1554</v>
      </c>
      <c r="D873" s="32"/>
      <c r="E873" s="32"/>
      <c r="F873" s="32"/>
      <c r="G873" s="33"/>
      <c r="H873" s="4">
        <f>LEN(C873)</f>
        <v>7</v>
      </c>
      <c r="I873" s="11">
        <f>MOD(H873,2)*4+FLOOR(H873/2,1)*6</f>
        <v>22</v>
      </c>
      <c r="J873" s="12">
        <f>I873+I874</f>
        <v>38</v>
      </c>
      <c r="K873" s="20"/>
      <c r="L873" s="13" t="str">
        <f>IF(R873&lt;=12,"有效","无效")</f>
        <v>有效</v>
      </c>
      <c r="M873" s="32" t="s">
        <v>1558</v>
      </c>
      <c r="N873" s="32"/>
      <c r="O873" s="32"/>
      <c r="P873" s="32"/>
      <c r="Q873" s="33"/>
      <c r="R873" s="10">
        <f>LEN(M873)</f>
        <v>5</v>
      </c>
      <c r="S873" s="10">
        <f>MOD(R873,2)*4+FLOOR(R873/2,1)*6</f>
        <v>16</v>
      </c>
      <c r="T873" s="12">
        <f>S873+S874</f>
        <v>46</v>
      </c>
    </row>
    <row r="874" spans="1:20" ht="20" customHeight="1">
      <c r="A874" s="22"/>
      <c r="B874" s="6" t="str">
        <f>IF(H874&lt;=12,"有效","无效")</f>
        <v>有效</v>
      </c>
      <c r="C874" s="31" t="s">
        <v>1555</v>
      </c>
      <c r="D874" s="32"/>
      <c r="E874" s="32"/>
      <c r="F874" s="32"/>
      <c r="G874" s="33"/>
      <c r="H874" s="4">
        <f>LEN(C874)</f>
        <v>5</v>
      </c>
      <c r="I874" s="11">
        <f>MOD(H874,2)*4+FLOOR(H874/2,1)*6</f>
        <v>16</v>
      </c>
      <c r="J874" s="12" t="str">
        <f>IF(J873&lt;I872,"有效","无效")</f>
        <v>有效</v>
      </c>
      <c r="K874" s="20"/>
      <c r="L874" s="6" t="str">
        <f>IF(R874&lt;=12,"有效","无效")</f>
        <v>有效</v>
      </c>
      <c r="M874" s="31" t="s">
        <v>1559</v>
      </c>
      <c r="N874" s="32"/>
      <c r="O874" s="32"/>
      <c r="P874" s="32"/>
      <c r="Q874" s="33"/>
      <c r="R874" s="10">
        <f>LEN(M874)</f>
        <v>10</v>
      </c>
      <c r="S874" s="10">
        <f>MOD(R874,2)*4+FLOOR(R874/2,1)*6</f>
        <v>30</v>
      </c>
      <c r="T874" s="12" t="str">
        <f>IF(T873&lt;I872,"有效","无效")</f>
        <v>有效</v>
      </c>
    </row>
    <row r="875" spans="1:20" ht="20" customHeight="1">
      <c r="A875" s="22"/>
      <c r="B875" s="6" t="str">
        <f>IF(H875&lt;=12,"有效","无效")</f>
        <v>有效</v>
      </c>
      <c r="C875" s="31" t="s">
        <v>1556</v>
      </c>
      <c r="D875" s="32"/>
      <c r="E875" s="32"/>
      <c r="F875" s="32"/>
      <c r="G875" s="33"/>
      <c r="H875" s="4">
        <f>LEN(C875)</f>
        <v>11</v>
      </c>
      <c r="I875" s="11">
        <f>MOD(H875,2)*4+FLOOR(H875/2,1)*6</f>
        <v>34</v>
      </c>
      <c r="J875" s="12">
        <f>I875+I876</f>
        <v>68</v>
      </c>
      <c r="K875" s="20"/>
      <c r="L875" s="6" t="str">
        <f>IF(R875&lt;=12,"有效","无效")</f>
        <v>有效</v>
      </c>
      <c r="M875" s="31" t="s">
        <v>1560</v>
      </c>
      <c r="N875" s="32"/>
      <c r="O875" s="32"/>
      <c r="P875" s="32"/>
      <c r="Q875" s="33"/>
      <c r="R875" s="10">
        <f>LEN(M875)</f>
        <v>8</v>
      </c>
      <c r="S875" s="10">
        <f>MOD(R875,2)*4+FLOOR(R875/2,1)*6</f>
        <v>24</v>
      </c>
      <c r="T875" s="12">
        <f>S875+S876</f>
        <v>46</v>
      </c>
    </row>
    <row r="876" spans="1:20" ht="20" customHeight="1">
      <c r="A876" s="22"/>
      <c r="B876" s="6" t="str">
        <f>IF(H876&lt;=12,"有效","无效")</f>
        <v>有效</v>
      </c>
      <c r="C876" s="31" t="s">
        <v>1557</v>
      </c>
      <c r="D876" s="32"/>
      <c r="E876" s="32"/>
      <c r="F876" s="32"/>
      <c r="G876" s="33"/>
      <c r="H876" s="4">
        <f>LEN(C876)</f>
        <v>11</v>
      </c>
      <c r="I876" s="11">
        <f>MOD(H876,2)*4+FLOOR(H876/2,1)*6</f>
        <v>34</v>
      </c>
      <c r="J876" s="12" t="str">
        <f>IF(J875&lt;I872,"有效","无效")</f>
        <v>有效</v>
      </c>
      <c r="K876" s="20"/>
      <c r="L876" s="6" t="str">
        <f>IF(R876&lt;=12,"有效","无效")</f>
        <v>有效</v>
      </c>
      <c r="M876" s="31" t="s">
        <v>1561</v>
      </c>
      <c r="N876" s="32"/>
      <c r="O876" s="32"/>
      <c r="P876" s="32"/>
      <c r="Q876" s="33"/>
      <c r="R876" s="10">
        <f>LEN(M876)</f>
        <v>7</v>
      </c>
      <c r="S876" s="10">
        <f>MOD(R876,2)*4+FLOOR(R876/2,1)*6</f>
        <v>22</v>
      </c>
      <c r="T876" s="12" t="str">
        <f>IF(T875&lt;I872,"有效","无效")</f>
        <v>有效</v>
      </c>
    </row>
    <row r="877" spans="1:20" ht="20" customHeight="1">
      <c r="A877" s="22">
        <v>176</v>
      </c>
      <c r="B877" s="23" t="s">
        <v>285</v>
      </c>
      <c r="C877" s="24" t="s">
        <v>286</v>
      </c>
      <c r="D877" s="14">
        <f>LEN($B877)</f>
        <v>4</v>
      </c>
      <c r="E877" s="14">
        <f>LEN(C877)+3</f>
        <v>5</v>
      </c>
      <c r="F877" s="14">
        <f>MOD(D877,2)*4+FLOOR(D877/2,1)*6</f>
        <v>12</v>
      </c>
      <c r="G877" s="14">
        <f>MOD(E877,2)*4+FLOOR(E877/2,1)*6</f>
        <v>16</v>
      </c>
      <c r="H877" s="14">
        <v>12</v>
      </c>
      <c r="I877" s="14">
        <f>108-H877-G877-F877</f>
        <v>68</v>
      </c>
    </row>
    <row r="878" spans="1:20" ht="20" customHeight="1">
      <c r="A878" s="22"/>
      <c r="B878" s="6" t="str">
        <f>IF(H878&lt;=12,"有效","无效")</f>
        <v>有效</v>
      </c>
      <c r="C878" s="31" t="s">
        <v>1565</v>
      </c>
      <c r="D878" s="32"/>
      <c r="E878" s="32"/>
      <c r="F878" s="32"/>
      <c r="G878" s="33"/>
      <c r="H878" s="4">
        <f>LEN(C878)</f>
        <v>4</v>
      </c>
      <c r="I878" s="11">
        <f>MOD(H878,2)*4+FLOOR(H878/2,1)*6</f>
        <v>12</v>
      </c>
      <c r="J878" s="12">
        <f>I878+I879</f>
        <v>28</v>
      </c>
      <c r="K878" s="20"/>
      <c r="L878" s="13" t="str">
        <f>IF(R878&lt;=12,"有效","无效")</f>
        <v>有效</v>
      </c>
      <c r="M878" s="32" t="s">
        <v>1566</v>
      </c>
      <c r="N878" s="32"/>
      <c r="O878" s="32"/>
      <c r="P878" s="32"/>
      <c r="Q878" s="33"/>
      <c r="R878" s="10">
        <f>LEN(M878)</f>
        <v>9</v>
      </c>
      <c r="S878" s="10">
        <f>MOD(R878,2)*4+FLOOR(R878/2,1)*6</f>
        <v>28</v>
      </c>
      <c r="T878" s="12">
        <f>S878+S879</f>
        <v>56</v>
      </c>
    </row>
    <row r="879" spans="1:20" ht="20" customHeight="1">
      <c r="A879" s="22"/>
      <c r="B879" s="6" t="str">
        <f>IF(H879&lt;=12,"有效","无效")</f>
        <v>有效</v>
      </c>
      <c r="C879" s="31" t="s">
        <v>1564</v>
      </c>
      <c r="D879" s="32"/>
      <c r="E879" s="32"/>
      <c r="F879" s="32"/>
      <c r="G879" s="33"/>
      <c r="H879" s="4">
        <f>LEN(C879)</f>
        <v>5</v>
      </c>
      <c r="I879" s="11">
        <f>MOD(H879,2)*4+FLOOR(H879/2,1)*6</f>
        <v>16</v>
      </c>
      <c r="J879" s="12" t="str">
        <f>IF(J878&lt;I877,"有效","无效")</f>
        <v>有效</v>
      </c>
      <c r="K879" s="20"/>
      <c r="L879" s="6" t="str">
        <f>IF(R879&lt;=12,"有效","无效")</f>
        <v>有效</v>
      </c>
      <c r="M879" s="31" t="s">
        <v>1567</v>
      </c>
      <c r="N879" s="32"/>
      <c r="O879" s="32"/>
      <c r="P879" s="32"/>
      <c r="Q879" s="33"/>
      <c r="R879" s="10">
        <f>LEN(M879)</f>
        <v>9</v>
      </c>
      <c r="S879" s="10">
        <f>MOD(R879,2)*4+FLOOR(R879/2,1)*6</f>
        <v>28</v>
      </c>
      <c r="T879" s="12" t="str">
        <f>IF(T878&lt;I877,"有效","无效")</f>
        <v>有效</v>
      </c>
    </row>
    <row r="880" spans="1:20" ht="20" customHeight="1">
      <c r="A880" s="22"/>
      <c r="B880" s="6" t="str">
        <f>IF(H880&lt;=12,"有效","无效")</f>
        <v>有效</v>
      </c>
      <c r="C880" s="31" t="s">
        <v>1562</v>
      </c>
      <c r="D880" s="32"/>
      <c r="E880" s="32"/>
      <c r="F880" s="32"/>
      <c r="G880" s="33"/>
      <c r="H880" s="4">
        <f>LEN(C880)</f>
        <v>8</v>
      </c>
      <c r="I880" s="11">
        <f>MOD(H880,2)*4+FLOOR(H880/2,1)*6</f>
        <v>24</v>
      </c>
      <c r="J880" s="12">
        <f>I880+I881</f>
        <v>40</v>
      </c>
      <c r="K880" s="20"/>
      <c r="L880" s="6" t="str">
        <f>IF(R880&lt;=12,"有效","无效")</f>
        <v>有效</v>
      </c>
      <c r="M880" s="31" t="s">
        <v>1568</v>
      </c>
      <c r="N880" s="32"/>
      <c r="O880" s="32"/>
      <c r="P880" s="32"/>
      <c r="Q880" s="33"/>
      <c r="R880" s="10">
        <f>LEN(M880)</f>
        <v>5</v>
      </c>
      <c r="S880" s="10">
        <f>MOD(R880,2)*4+FLOOR(R880/2,1)*6</f>
        <v>16</v>
      </c>
      <c r="T880" s="12">
        <f>S880+S881</f>
        <v>38</v>
      </c>
    </row>
    <row r="881" spans="1:20" ht="20" customHeight="1">
      <c r="A881" s="22"/>
      <c r="B881" s="6" t="str">
        <f>IF(H881&lt;=12,"有效","无效")</f>
        <v>有效</v>
      </c>
      <c r="C881" s="31" t="s">
        <v>1563</v>
      </c>
      <c r="D881" s="32"/>
      <c r="E881" s="32"/>
      <c r="F881" s="32"/>
      <c r="G881" s="33"/>
      <c r="H881" s="4">
        <f>LEN(C881)</f>
        <v>5</v>
      </c>
      <c r="I881" s="11">
        <f>MOD(H881,2)*4+FLOOR(H881/2,1)*6</f>
        <v>16</v>
      </c>
      <c r="J881" s="12" t="str">
        <f>IF(J880&lt;I877,"有效","无效")</f>
        <v>有效</v>
      </c>
      <c r="K881" s="20"/>
      <c r="L881" s="6" t="str">
        <f>IF(R881&lt;=12,"有效","无效")</f>
        <v>有效</v>
      </c>
      <c r="M881" s="31" t="s">
        <v>1569</v>
      </c>
      <c r="N881" s="32"/>
      <c r="O881" s="32"/>
      <c r="P881" s="32"/>
      <c r="Q881" s="33"/>
      <c r="R881" s="10">
        <f>LEN(M881)</f>
        <v>7</v>
      </c>
      <c r="S881" s="10">
        <f>MOD(R881,2)*4+FLOOR(R881/2,1)*6</f>
        <v>22</v>
      </c>
      <c r="T881" s="12" t="str">
        <f>IF(T880&lt;I877,"有效","无效")</f>
        <v>有效</v>
      </c>
    </row>
    <row r="882" spans="1:20" ht="20" customHeight="1">
      <c r="A882" s="22">
        <v>177</v>
      </c>
      <c r="B882" s="23" t="s">
        <v>287</v>
      </c>
      <c r="C882" s="24" t="s">
        <v>29</v>
      </c>
      <c r="D882" s="14">
        <f>LEN($B882)</f>
        <v>3</v>
      </c>
      <c r="E882" s="14">
        <f>LEN(C882)+3</f>
        <v>5</v>
      </c>
      <c r="F882" s="14">
        <f>MOD(D882,2)*4+FLOOR(D882/2,1)*6</f>
        <v>10</v>
      </c>
      <c r="G882" s="14">
        <f>MOD(E882,2)*4+FLOOR(E882/2,1)*6</f>
        <v>16</v>
      </c>
      <c r="H882" s="14">
        <v>12</v>
      </c>
      <c r="I882" s="14">
        <f>108-H882-G882-F882</f>
        <v>70</v>
      </c>
    </row>
    <row r="883" spans="1:20" ht="20" customHeight="1">
      <c r="A883" s="22"/>
      <c r="B883" s="6" t="str">
        <f>IF(H883&lt;=12,"有效","无效")</f>
        <v>有效</v>
      </c>
      <c r="C883" s="31" t="s">
        <v>1570</v>
      </c>
      <c r="D883" s="32"/>
      <c r="E883" s="32"/>
      <c r="F883" s="32"/>
      <c r="G883" s="33"/>
      <c r="H883" s="4">
        <f>LEN(C883)</f>
        <v>7</v>
      </c>
      <c r="I883" s="11">
        <f>MOD(H883,2)*4+FLOOR(H883/2,1)*6</f>
        <v>22</v>
      </c>
      <c r="J883" s="12">
        <f>I883+I884</f>
        <v>46</v>
      </c>
      <c r="K883" s="20"/>
      <c r="L883" s="13" t="str">
        <f>IF(R883&lt;=12,"有效","无效")</f>
        <v>有效</v>
      </c>
      <c r="M883" s="32" t="s">
        <v>1574</v>
      </c>
      <c r="N883" s="32"/>
      <c r="O883" s="32"/>
      <c r="P883" s="32"/>
      <c r="Q883" s="33"/>
      <c r="R883" s="10">
        <f>LEN(M883)</f>
        <v>6</v>
      </c>
      <c r="S883" s="10">
        <f>MOD(R883,2)*4+FLOOR(R883/2,1)*6</f>
        <v>18</v>
      </c>
      <c r="T883" s="12">
        <f>S883+S884</f>
        <v>40</v>
      </c>
    </row>
    <row r="884" spans="1:20" ht="20" customHeight="1">
      <c r="A884" s="22"/>
      <c r="B884" s="6" t="str">
        <f>IF(H884&lt;=12,"有效","无效")</f>
        <v>有效</v>
      </c>
      <c r="C884" s="31" t="s">
        <v>1571</v>
      </c>
      <c r="D884" s="32"/>
      <c r="E884" s="32"/>
      <c r="F884" s="32"/>
      <c r="G884" s="33"/>
      <c r="H884" s="4">
        <f>LEN(C884)</f>
        <v>8</v>
      </c>
      <c r="I884" s="11">
        <f>MOD(H884,2)*4+FLOOR(H884/2,1)*6</f>
        <v>24</v>
      </c>
      <c r="J884" s="12" t="str">
        <f>IF(J883&lt;I882,"有效","无效")</f>
        <v>有效</v>
      </c>
      <c r="K884" s="20"/>
      <c r="L884" s="6" t="str">
        <f>IF(R884&lt;=12,"有效","无效")</f>
        <v>有效</v>
      </c>
      <c r="M884" s="31" t="s">
        <v>1575</v>
      </c>
      <c r="N884" s="32"/>
      <c r="O884" s="32"/>
      <c r="P884" s="32"/>
      <c r="Q884" s="33"/>
      <c r="R884" s="10">
        <f>LEN(M884)</f>
        <v>7</v>
      </c>
      <c r="S884" s="10">
        <f>MOD(R884,2)*4+FLOOR(R884/2,1)*6</f>
        <v>22</v>
      </c>
      <c r="T884" s="12" t="str">
        <f>IF(T883&lt;I882,"有效","无效")</f>
        <v>有效</v>
      </c>
    </row>
    <row r="885" spans="1:20" ht="20" customHeight="1">
      <c r="A885" s="22"/>
      <c r="B885" s="6" t="str">
        <f>IF(H885&lt;=12,"有效","无效")</f>
        <v>有效</v>
      </c>
      <c r="C885" s="31" t="s">
        <v>1572</v>
      </c>
      <c r="D885" s="32"/>
      <c r="E885" s="32"/>
      <c r="F885" s="32"/>
      <c r="G885" s="33"/>
      <c r="H885" s="4">
        <f>LEN(C885)</f>
        <v>3</v>
      </c>
      <c r="I885" s="11">
        <f>MOD(H885,2)*4+FLOOR(H885/2,1)*6</f>
        <v>10</v>
      </c>
      <c r="J885" s="12">
        <f>I885+I886</f>
        <v>28</v>
      </c>
      <c r="K885" s="20"/>
      <c r="L885" s="6" t="str">
        <f>IF(R885&lt;=12,"有效","无效")</f>
        <v>有效</v>
      </c>
      <c r="M885" s="31" t="s">
        <v>1576</v>
      </c>
      <c r="N885" s="32"/>
      <c r="O885" s="32"/>
      <c r="P885" s="32"/>
      <c r="Q885" s="33"/>
      <c r="R885" s="10">
        <f>LEN(M885)</f>
        <v>6</v>
      </c>
      <c r="S885" s="10">
        <f>MOD(R885,2)*4+FLOOR(R885/2,1)*6</f>
        <v>18</v>
      </c>
      <c r="T885" s="12">
        <f>S885+S886</f>
        <v>46</v>
      </c>
    </row>
    <row r="886" spans="1:20" ht="20" customHeight="1">
      <c r="A886" s="22"/>
      <c r="B886" s="6" t="str">
        <f>IF(H886&lt;=12,"有效","无效")</f>
        <v>有效</v>
      </c>
      <c r="C886" s="31" t="s">
        <v>1573</v>
      </c>
      <c r="D886" s="32"/>
      <c r="E886" s="32"/>
      <c r="F886" s="32"/>
      <c r="G886" s="33"/>
      <c r="H886" s="4">
        <f>LEN(C886)</f>
        <v>6</v>
      </c>
      <c r="I886" s="11">
        <f>MOD(H886,2)*4+FLOOR(H886/2,1)*6</f>
        <v>18</v>
      </c>
      <c r="J886" s="12" t="str">
        <f>IF(J885&lt;I882,"有效","无效")</f>
        <v>有效</v>
      </c>
      <c r="K886" s="20"/>
      <c r="L886" s="6" t="str">
        <f>IF(R886&lt;=12,"有效","无效")</f>
        <v>有效</v>
      </c>
      <c r="M886" s="31" t="s">
        <v>1577</v>
      </c>
      <c r="N886" s="32"/>
      <c r="O886" s="32"/>
      <c r="P886" s="32"/>
      <c r="Q886" s="33"/>
      <c r="R886" s="10">
        <f>LEN(M886)</f>
        <v>9</v>
      </c>
      <c r="S886" s="10">
        <f>MOD(R886,2)*4+FLOOR(R886/2,1)*6</f>
        <v>28</v>
      </c>
      <c r="T886" s="12" t="str">
        <f>IF(T885&lt;I882,"有效","无效")</f>
        <v>有效</v>
      </c>
    </row>
    <row r="887" spans="1:20" ht="20" customHeight="1">
      <c r="A887" s="22">
        <v>178</v>
      </c>
      <c r="B887" s="23" t="s">
        <v>288</v>
      </c>
      <c r="C887" s="24" t="s">
        <v>289</v>
      </c>
      <c r="D887" s="14">
        <f>LEN($B887)</f>
        <v>3</v>
      </c>
      <c r="E887" s="14">
        <f>LEN(C887)+3</f>
        <v>5</v>
      </c>
      <c r="F887" s="14">
        <f>MOD(D887,2)*4+FLOOR(D887/2,1)*6</f>
        <v>10</v>
      </c>
      <c r="G887" s="14">
        <f>MOD(E887,2)*4+FLOOR(E887/2,1)*6</f>
        <v>16</v>
      </c>
      <c r="H887" s="14">
        <v>12</v>
      </c>
      <c r="I887" s="14">
        <f>108-H887-G887-F887</f>
        <v>70</v>
      </c>
    </row>
    <row r="888" spans="1:20" ht="20" customHeight="1">
      <c r="A888" s="22"/>
      <c r="B888" s="6" t="str">
        <f>IF(H888&lt;=12,"有效","无效")</f>
        <v>有效</v>
      </c>
      <c r="C888" s="31" t="s">
        <v>1578</v>
      </c>
      <c r="D888" s="32"/>
      <c r="E888" s="32"/>
      <c r="F888" s="32"/>
      <c r="G888" s="33"/>
      <c r="H888" s="4">
        <f>LEN(C888)</f>
        <v>11</v>
      </c>
      <c r="I888" s="11">
        <f>MOD(H888,2)*4+FLOOR(H888/2,1)*6</f>
        <v>34</v>
      </c>
      <c r="J888" s="12">
        <f>I888+I889</f>
        <v>64</v>
      </c>
      <c r="K888" s="20"/>
      <c r="L888" s="13" t="str">
        <f>IF(R888&lt;=12,"有效","无效")</f>
        <v>有效</v>
      </c>
      <c r="M888" s="35" t="s">
        <v>2405</v>
      </c>
      <c r="N888" s="35"/>
      <c r="O888" s="35"/>
      <c r="P888" s="35"/>
      <c r="Q888" s="36"/>
      <c r="R888" s="10">
        <f>LEN(M888)</f>
        <v>6</v>
      </c>
      <c r="S888" s="10">
        <f>MOD(R888,2)*4+FLOOR(R888/2,1)*6</f>
        <v>18</v>
      </c>
      <c r="T888" s="12">
        <f>S888+S889</f>
        <v>36</v>
      </c>
    </row>
    <row r="889" spans="1:20" ht="20" customHeight="1">
      <c r="A889" s="22"/>
      <c r="B889" s="6" t="str">
        <f>IF(H889&lt;=12,"有效","无效")</f>
        <v>有效</v>
      </c>
      <c r="C889" s="31" t="s">
        <v>1579</v>
      </c>
      <c r="D889" s="32"/>
      <c r="E889" s="32"/>
      <c r="F889" s="32"/>
      <c r="G889" s="33"/>
      <c r="H889" s="4">
        <f>LEN(C889)</f>
        <v>10</v>
      </c>
      <c r="I889" s="11">
        <f>MOD(H889,2)*4+FLOOR(H889/2,1)*6</f>
        <v>30</v>
      </c>
      <c r="J889" s="12" t="str">
        <f>IF(J888&lt;I887,"有效","无效")</f>
        <v>有效</v>
      </c>
      <c r="K889" s="20"/>
      <c r="L889" s="6" t="str">
        <f>IF(R889&lt;=12,"有效","无效")</f>
        <v>有效</v>
      </c>
      <c r="M889" s="34" t="s">
        <v>2404</v>
      </c>
      <c r="N889" s="35"/>
      <c r="O889" s="35"/>
      <c r="P889" s="35"/>
      <c r="Q889" s="36"/>
      <c r="R889" s="10">
        <f>LEN(M889)</f>
        <v>6</v>
      </c>
      <c r="S889" s="10">
        <f>MOD(R889,2)*4+FLOOR(R889/2,1)*6</f>
        <v>18</v>
      </c>
      <c r="T889" s="12" t="str">
        <f>IF(T888&lt;I887,"有效","无效")</f>
        <v>有效</v>
      </c>
    </row>
    <row r="890" spans="1:20" ht="20" customHeight="1">
      <c r="A890" s="22"/>
      <c r="B890" s="6" t="str">
        <f>IF(H890&lt;=12,"有效","无效")</f>
        <v>有效</v>
      </c>
      <c r="C890" s="31" t="s">
        <v>1580</v>
      </c>
      <c r="D890" s="32"/>
      <c r="E890" s="32"/>
      <c r="F890" s="32"/>
      <c r="G890" s="33"/>
      <c r="H890" s="4">
        <f>LEN(C890)</f>
        <v>9</v>
      </c>
      <c r="I890" s="11">
        <f>MOD(H890,2)*4+FLOOR(H890/2,1)*6</f>
        <v>28</v>
      </c>
      <c r="J890" s="12">
        <f>I890+I891</f>
        <v>62</v>
      </c>
      <c r="K890" s="20"/>
      <c r="L890" s="6" t="str">
        <f>IF(R890&lt;=12,"有效","无效")</f>
        <v>有效</v>
      </c>
      <c r="M890" s="34" t="s">
        <v>1582</v>
      </c>
      <c r="N890" s="35"/>
      <c r="O890" s="35"/>
      <c r="P890" s="35"/>
      <c r="Q890" s="36"/>
      <c r="R890" s="10">
        <f>LEN(M890)</f>
        <v>11</v>
      </c>
      <c r="S890" s="10">
        <f>MOD(R890,2)*4+FLOOR(R890/2,1)*6</f>
        <v>34</v>
      </c>
      <c r="T890" s="12">
        <f>S890+S891</f>
        <v>62</v>
      </c>
    </row>
    <row r="891" spans="1:20" ht="20" customHeight="1">
      <c r="A891" s="22"/>
      <c r="B891" s="6" t="str">
        <f>IF(H891&lt;=12,"有效","无效")</f>
        <v>有效</v>
      </c>
      <c r="C891" s="31" t="s">
        <v>1581</v>
      </c>
      <c r="D891" s="32"/>
      <c r="E891" s="32"/>
      <c r="F891" s="32"/>
      <c r="G891" s="33"/>
      <c r="H891" s="4">
        <f>LEN(C891)</f>
        <v>11</v>
      </c>
      <c r="I891" s="11">
        <f>MOD(H891,2)*4+FLOOR(H891/2,1)*6</f>
        <v>34</v>
      </c>
      <c r="J891" s="12" t="str">
        <f>IF(J890&lt;I887,"有效","无效")</f>
        <v>有效</v>
      </c>
      <c r="K891" s="20"/>
      <c r="L891" s="6" t="str">
        <f>IF(R891&lt;=12,"有效","无效")</f>
        <v>有效</v>
      </c>
      <c r="M891" s="34" t="s">
        <v>1583</v>
      </c>
      <c r="N891" s="35"/>
      <c r="O891" s="35"/>
      <c r="P891" s="35"/>
      <c r="Q891" s="36"/>
      <c r="R891" s="10">
        <f>LEN(M891)</f>
        <v>9</v>
      </c>
      <c r="S891" s="10">
        <f>MOD(R891,2)*4+FLOOR(R891/2,1)*6</f>
        <v>28</v>
      </c>
      <c r="T891" s="12" t="str">
        <f>IF(T890&lt;I887,"有效","无效")</f>
        <v>有效</v>
      </c>
    </row>
    <row r="892" spans="1:20" ht="20" customHeight="1">
      <c r="A892" s="22">
        <v>179</v>
      </c>
      <c r="B892" s="23" t="s">
        <v>290</v>
      </c>
      <c r="C892" s="24" t="s">
        <v>291</v>
      </c>
      <c r="D892" s="14">
        <f>LEN($B892)</f>
        <v>3</v>
      </c>
      <c r="E892" s="14">
        <f>LEN(C892)+3</f>
        <v>5</v>
      </c>
      <c r="F892" s="14">
        <f>MOD(D892,2)*4+FLOOR(D892/2,1)*6</f>
        <v>10</v>
      </c>
      <c r="G892" s="14">
        <f>MOD(E892,2)*4+FLOOR(E892/2,1)*6</f>
        <v>16</v>
      </c>
      <c r="H892" s="14">
        <v>12</v>
      </c>
      <c r="I892" s="14">
        <f>108-H892-G892-F892</f>
        <v>70</v>
      </c>
    </row>
    <row r="893" spans="1:20" ht="20" customHeight="1">
      <c r="A893" s="22"/>
      <c r="B893" s="6" t="str">
        <f>IF(H893&lt;=12,"有效","无效")</f>
        <v>有效</v>
      </c>
      <c r="C893" s="31" t="s">
        <v>2182</v>
      </c>
      <c r="D893" s="32"/>
      <c r="E893" s="32"/>
      <c r="F893" s="32"/>
      <c r="G893" s="33"/>
      <c r="H893" s="4">
        <f>LEN(C893)</f>
        <v>12</v>
      </c>
      <c r="I893" s="11">
        <f>MOD(H893,2)*4+FLOOR(H893/2,1)*6</f>
        <v>36</v>
      </c>
      <c r="J893" s="12">
        <f>I893+I894</f>
        <v>70</v>
      </c>
      <c r="K893" s="20"/>
      <c r="L893" s="13" t="str">
        <f>IF(R893&lt;=12,"有效","无效")</f>
        <v>有效</v>
      </c>
      <c r="M893" s="32" t="s">
        <v>1584</v>
      </c>
      <c r="N893" s="32"/>
      <c r="O893" s="32"/>
      <c r="P893" s="32"/>
      <c r="Q893" s="33"/>
      <c r="R893" s="10">
        <f>LEN(M893)</f>
        <v>8</v>
      </c>
      <c r="S893" s="10">
        <f>MOD(R893,2)*4+FLOOR(R893/2,1)*6</f>
        <v>24</v>
      </c>
      <c r="T893" s="12">
        <f>S893+S894</f>
        <v>60</v>
      </c>
    </row>
    <row r="894" spans="1:20" ht="20" customHeight="1">
      <c r="A894" s="22"/>
      <c r="B894" s="6" t="str">
        <f>IF(H894&lt;=12,"有效","无效")</f>
        <v>有效</v>
      </c>
      <c r="C894" s="31" t="s">
        <v>2183</v>
      </c>
      <c r="D894" s="32"/>
      <c r="E894" s="32"/>
      <c r="F894" s="32"/>
      <c r="G894" s="33"/>
      <c r="H894" s="4">
        <f>LEN(C894)</f>
        <v>11</v>
      </c>
      <c r="I894" s="11">
        <f>MOD(H894,2)*4+FLOOR(H894/2,1)*6</f>
        <v>34</v>
      </c>
      <c r="J894" s="12" t="str">
        <f>IF(J893&lt;=I892,"有效","无效")</f>
        <v>有效</v>
      </c>
      <c r="K894" s="20"/>
      <c r="L894" s="6" t="str">
        <f>IF(R894&lt;=12,"有效","无效")</f>
        <v>有效</v>
      </c>
      <c r="M894" s="31" t="s">
        <v>1585</v>
      </c>
      <c r="N894" s="32"/>
      <c r="O894" s="32"/>
      <c r="P894" s="32"/>
      <c r="Q894" s="33"/>
      <c r="R894" s="10">
        <f>LEN(M894)</f>
        <v>12</v>
      </c>
      <c r="S894" s="10">
        <f>MOD(R894,2)*4+FLOOR(R894/2,1)*6</f>
        <v>36</v>
      </c>
      <c r="T894" s="12" t="str">
        <f>IF(T893&lt;I892,"有效","无效")</f>
        <v>有效</v>
      </c>
    </row>
    <row r="895" spans="1:20" ht="20" customHeight="1">
      <c r="A895" s="22"/>
      <c r="B895" s="6" t="str">
        <f>IF(H895&lt;=12,"有效","无效")</f>
        <v>有效</v>
      </c>
      <c r="C895" s="31" t="s">
        <v>2185</v>
      </c>
      <c r="D895" s="32"/>
      <c r="E895" s="32"/>
      <c r="F895" s="32"/>
      <c r="G895" s="33"/>
      <c r="H895" s="4">
        <f>LEN(C895)</f>
        <v>4</v>
      </c>
      <c r="I895" s="11">
        <f>MOD(H895,2)*4+FLOOR(H895/2,1)*6</f>
        <v>12</v>
      </c>
      <c r="J895" s="12">
        <f>I895+I896</f>
        <v>28</v>
      </c>
      <c r="K895" s="20"/>
      <c r="L895" s="6" t="str">
        <f>IF(R895&lt;=12,"有效","无效")</f>
        <v>有效</v>
      </c>
      <c r="M895" s="31" t="s">
        <v>1586</v>
      </c>
      <c r="N895" s="32"/>
      <c r="O895" s="32"/>
      <c r="P895" s="32"/>
      <c r="Q895" s="33"/>
      <c r="R895" s="10">
        <f>LEN(M895)</f>
        <v>6</v>
      </c>
      <c r="S895" s="10">
        <f>MOD(R895,2)*4+FLOOR(R895/2,1)*6</f>
        <v>18</v>
      </c>
      <c r="T895" s="12">
        <f>S895+S896</f>
        <v>34</v>
      </c>
    </row>
    <row r="896" spans="1:20" ht="20" customHeight="1">
      <c r="A896" s="22"/>
      <c r="B896" s="6" t="str">
        <f>IF(H896&lt;=12,"有效","无效")</f>
        <v>有效</v>
      </c>
      <c r="C896" s="31" t="s">
        <v>2184</v>
      </c>
      <c r="D896" s="32"/>
      <c r="E896" s="32"/>
      <c r="F896" s="32"/>
      <c r="G896" s="33"/>
      <c r="H896" s="4">
        <f>LEN(C896)</f>
        <v>5</v>
      </c>
      <c r="I896" s="11">
        <f>MOD(H896,2)*4+FLOOR(H896/2,1)*6</f>
        <v>16</v>
      </c>
      <c r="J896" s="12" t="str">
        <f>IF(J895&lt;I892,"有效","无效")</f>
        <v>有效</v>
      </c>
      <c r="K896" s="20"/>
      <c r="L896" s="6" t="str">
        <f>IF(R896&lt;=12,"有效","无效")</f>
        <v>有效</v>
      </c>
      <c r="M896" s="31" t="s">
        <v>1587</v>
      </c>
      <c r="N896" s="32"/>
      <c r="O896" s="32"/>
      <c r="P896" s="32"/>
      <c r="Q896" s="33"/>
      <c r="R896" s="10">
        <f>LEN(M896)</f>
        <v>5</v>
      </c>
      <c r="S896" s="10">
        <f>MOD(R896,2)*4+FLOOR(R896/2,1)*6</f>
        <v>16</v>
      </c>
      <c r="T896" s="12" t="str">
        <f>IF(T895&lt;I892,"有效","无效")</f>
        <v>有效</v>
      </c>
    </row>
    <row r="897" spans="1:20" ht="20" customHeight="1">
      <c r="A897" s="22">
        <v>180</v>
      </c>
      <c r="B897" s="23" t="s">
        <v>292</v>
      </c>
      <c r="C897" s="24" t="s">
        <v>291</v>
      </c>
      <c r="D897" s="14">
        <f>LEN($B897)</f>
        <v>3</v>
      </c>
      <c r="E897" s="14">
        <f>LEN(C897)+3</f>
        <v>5</v>
      </c>
      <c r="F897" s="14">
        <f>MOD(D897,2)*4+FLOOR(D897/2,1)*6</f>
        <v>10</v>
      </c>
      <c r="G897" s="14">
        <f>MOD(E897,2)*4+FLOOR(E897/2,1)*6</f>
        <v>16</v>
      </c>
      <c r="H897" s="14">
        <v>12</v>
      </c>
      <c r="I897" s="14">
        <f>108-H897-G897-F897</f>
        <v>70</v>
      </c>
    </row>
    <row r="898" spans="1:20" ht="20" customHeight="1">
      <c r="A898" s="22"/>
      <c r="B898" s="6" t="str">
        <f>IF(H898&lt;=12,"有效","无效")</f>
        <v>有效</v>
      </c>
      <c r="C898" s="31" t="s">
        <v>2187</v>
      </c>
      <c r="D898" s="32"/>
      <c r="E898" s="32"/>
      <c r="F898" s="32"/>
      <c r="G898" s="33"/>
      <c r="H898" s="4">
        <f>LEN(C898)</f>
        <v>5</v>
      </c>
      <c r="I898" s="11">
        <f>MOD(H898,2)*4+FLOOR(H898/2,1)*6</f>
        <v>16</v>
      </c>
      <c r="J898" s="12">
        <f>I898+I899</f>
        <v>32</v>
      </c>
      <c r="K898" s="20"/>
      <c r="L898" s="13" t="str">
        <f>IF(R898&lt;=12,"有效","无效")</f>
        <v>有效</v>
      </c>
      <c r="M898" s="32" t="s">
        <v>1589</v>
      </c>
      <c r="N898" s="32"/>
      <c r="O898" s="32"/>
      <c r="P898" s="32"/>
      <c r="Q898" s="33"/>
      <c r="R898" s="10">
        <f>LEN(M898)</f>
        <v>5</v>
      </c>
      <c r="S898" s="10">
        <f>MOD(R898,2)*4+FLOOR(R898/2,1)*6</f>
        <v>16</v>
      </c>
      <c r="T898" s="12">
        <f>S898+S899</f>
        <v>32</v>
      </c>
    </row>
    <row r="899" spans="1:20" ht="20" customHeight="1">
      <c r="A899" s="22"/>
      <c r="B899" s="6" t="str">
        <f>IF(H899&lt;=12,"有效","无效")</f>
        <v>有效</v>
      </c>
      <c r="C899" s="31" t="s">
        <v>2188</v>
      </c>
      <c r="D899" s="32"/>
      <c r="E899" s="32"/>
      <c r="F899" s="32"/>
      <c r="G899" s="33"/>
      <c r="H899" s="4">
        <f>LEN(C899)</f>
        <v>5</v>
      </c>
      <c r="I899" s="11">
        <f>MOD(H899,2)*4+FLOOR(H899/2,1)*6</f>
        <v>16</v>
      </c>
      <c r="J899" s="12" t="str">
        <f>IF(J898&lt;I897,"有效","无效")</f>
        <v>有效</v>
      </c>
      <c r="K899" s="20"/>
      <c r="L899" s="6" t="str">
        <f>IF(R899&lt;=12,"有效","无效")</f>
        <v>有效</v>
      </c>
      <c r="M899" s="31" t="s">
        <v>1590</v>
      </c>
      <c r="N899" s="32"/>
      <c r="O899" s="32"/>
      <c r="P899" s="32"/>
      <c r="Q899" s="33"/>
      <c r="R899" s="10">
        <f>LEN(M899)</f>
        <v>5</v>
      </c>
      <c r="S899" s="10">
        <f>MOD(R899,2)*4+FLOOR(R899/2,1)*6</f>
        <v>16</v>
      </c>
      <c r="T899" s="12" t="str">
        <f>IF(T898&lt;I897,"有效","无效")</f>
        <v>有效</v>
      </c>
    </row>
    <row r="900" spans="1:20" ht="20" customHeight="1">
      <c r="A900" s="22"/>
      <c r="B900" s="6" t="str">
        <f>IF(H900&lt;=12,"有效","无效")</f>
        <v>有效</v>
      </c>
      <c r="C900" s="31" t="s">
        <v>2186</v>
      </c>
      <c r="D900" s="32"/>
      <c r="E900" s="32"/>
      <c r="F900" s="32"/>
      <c r="G900" s="33"/>
      <c r="H900" s="4">
        <f>LEN(C900)</f>
        <v>11</v>
      </c>
      <c r="I900" s="11">
        <f>MOD(H900,2)*4+FLOOR(H900/2,1)*6</f>
        <v>34</v>
      </c>
      <c r="J900" s="12">
        <f>I900+I901</f>
        <v>64</v>
      </c>
      <c r="K900" s="20"/>
      <c r="L900" s="6" t="str">
        <f>IF(R900&lt;=12,"有效","无效")</f>
        <v>有效</v>
      </c>
      <c r="M900" s="31" t="s">
        <v>1591</v>
      </c>
      <c r="N900" s="32"/>
      <c r="O900" s="32"/>
      <c r="P900" s="32"/>
      <c r="Q900" s="33"/>
      <c r="R900" s="10">
        <f>LEN(M900)</f>
        <v>9</v>
      </c>
      <c r="S900" s="10">
        <f>MOD(R900,2)*4+FLOOR(R900/2,1)*6</f>
        <v>28</v>
      </c>
      <c r="T900" s="12">
        <f>S900+S901</f>
        <v>58</v>
      </c>
    </row>
    <row r="901" spans="1:20" ht="20" customHeight="1">
      <c r="A901" s="22"/>
      <c r="B901" s="6" t="str">
        <f>IF(H901&lt;=12,"有效","无效")</f>
        <v>有效</v>
      </c>
      <c r="C901" s="31" t="s">
        <v>1588</v>
      </c>
      <c r="D901" s="32"/>
      <c r="E901" s="32"/>
      <c r="F901" s="32"/>
      <c r="G901" s="33"/>
      <c r="H901" s="4">
        <f>LEN(C901)</f>
        <v>10</v>
      </c>
      <c r="I901" s="11">
        <f>MOD(H901,2)*4+FLOOR(H901/2,1)*6</f>
        <v>30</v>
      </c>
      <c r="J901" s="12" t="str">
        <f>IF(J900&lt;I897,"有效","无效")</f>
        <v>有效</v>
      </c>
      <c r="K901" s="20"/>
      <c r="L901" s="6" t="str">
        <f>IF(R901&lt;=12,"有效","无效")</f>
        <v>有效</v>
      </c>
      <c r="M901" s="31" t="s">
        <v>1592</v>
      </c>
      <c r="N901" s="32"/>
      <c r="O901" s="32"/>
      <c r="P901" s="32"/>
      <c r="Q901" s="33"/>
      <c r="R901" s="10">
        <f>LEN(M901)</f>
        <v>10</v>
      </c>
      <c r="S901" s="10">
        <f>MOD(R901,2)*4+FLOOR(R901/2,1)*6</f>
        <v>30</v>
      </c>
      <c r="T901" s="12" t="str">
        <f>IF(T900&lt;I897,"有效","无效")</f>
        <v>有效</v>
      </c>
    </row>
    <row r="902" spans="1:20" ht="20" customHeight="1">
      <c r="A902" s="22">
        <v>181</v>
      </c>
      <c r="B902" s="23" t="s">
        <v>293</v>
      </c>
      <c r="C902" s="24" t="s">
        <v>278</v>
      </c>
      <c r="D902" s="14">
        <f>LEN($B902)</f>
        <v>2</v>
      </c>
      <c r="E902" s="14">
        <f>LEN(C902)+3</f>
        <v>4</v>
      </c>
      <c r="F902" s="14">
        <f>MOD(D902,2)*4+FLOOR(D902/2,1)*6</f>
        <v>6</v>
      </c>
      <c r="G902" s="14">
        <f>MOD(E902,2)*4+FLOOR(E902/2,1)*6</f>
        <v>12</v>
      </c>
      <c r="H902" s="14">
        <v>12</v>
      </c>
      <c r="I902" s="14">
        <f>108-H902-G902-F902</f>
        <v>78</v>
      </c>
    </row>
    <row r="903" spans="1:20" ht="20" customHeight="1">
      <c r="A903" s="22"/>
      <c r="B903" s="6" t="str">
        <f>IF(H903&lt;=12,"有效","无效")</f>
        <v>有效</v>
      </c>
      <c r="C903" s="31" t="s">
        <v>1593</v>
      </c>
      <c r="D903" s="32"/>
      <c r="E903" s="32"/>
      <c r="F903" s="32"/>
      <c r="G903" s="33"/>
      <c r="H903" s="4">
        <f>LEN(C903)</f>
        <v>5</v>
      </c>
      <c r="I903" s="11">
        <f>MOD(H903,2)*4+FLOOR(H903/2,1)*6</f>
        <v>16</v>
      </c>
      <c r="J903" s="12">
        <f>I903+I904</f>
        <v>34</v>
      </c>
      <c r="K903" s="20"/>
      <c r="L903" s="13" t="str">
        <f>IF(R903&lt;=12,"有效","无效")</f>
        <v>有效</v>
      </c>
      <c r="M903" s="32" t="s">
        <v>1597</v>
      </c>
      <c r="N903" s="32"/>
      <c r="O903" s="32"/>
      <c r="P903" s="32"/>
      <c r="Q903" s="33"/>
      <c r="R903" s="10">
        <f>LEN(M903)</f>
        <v>5</v>
      </c>
      <c r="S903" s="10">
        <f>MOD(R903,2)*4+FLOOR(R903/2,1)*6</f>
        <v>16</v>
      </c>
      <c r="T903" s="12">
        <f>S903+S904</f>
        <v>34</v>
      </c>
    </row>
    <row r="904" spans="1:20" ht="20" customHeight="1">
      <c r="A904" s="22"/>
      <c r="B904" s="6" t="str">
        <f>IF(H904&lt;=12,"有效","无效")</f>
        <v>有效</v>
      </c>
      <c r="C904" s="31" t="s">
        <v>1594</v>
      </c>
      <c r="D904" s="32"/>
      <c r="E904" s="32"/>
      <c r="F904" s="32"/>
      <c r="G904" s="33"/>
      <c r="H904" s="4">
        <f>LEN(C904)</f>
        <v>6</v>
      </c>
      <c r="I904" s="11">
        <f>MOD(H904,2)*4+FLOOR(H904/2,1)*6</f>
        <v>18</v>
      </c>
      <c r="J904" s="12" t="str">
        <f>IF(J903&lt;I902,"有效","无效")</f>
        <v>有效</v>
      </c>
      <c r="K904" s="20"/>
      <c r="L904" s="6" t="str">
        <f>IF(R904&lt;=12,"有效","无效")</f>
        <v>有效</v>
      </c>
      <c r="M904" s="31" t="s">
        <v>1598</v>
      </c>
      <c r="N904" s="32"/>
      <c r="O904" s="32"/>
      <c r="P904" s="32"/>
      <c r="Q904" s="33"/>
      <c r="R904" s="10">
        <f>LEN(M904)</f>
        <v>6</v>
      </c>
      <c r="S904" s="10">
        <f>MOD(R904,2)*4+FLOOR(R904/2,1)*6</f>
        <v>18</v>
      </c>
      <c r="T904" s="12" t="str">
        <f>IF(T903&lt;I902,"有效","无效")</f>
        <v>有效</v>
      </c>
    </row>
    <row r="905" spans="1:20" ht="20" customHeight="1">
      <c r="A905" s="22"/>
      <c r="B905" s="6" t="str">
        <f>IF(H905&lt;=12,"有效","无效")</f>
        <v>有效</v>
      </c>
      <c r="C905" s="31" t="s">
        <v>1595</v>
      </c>
      <c r="D905" s="32"/>
      <c r="E905" s="32"/>
      <c r="F905" s="32"/>
      <c r="G905" s="33"/>
      <c r="H905" s="4">
        <f>LEN(C905)</f>
        <v>12</v>
      </c>
      <c r="I905" s="11">
        <f>MOD(H905,2)*4+FLOOR(H905/2,1)*6</f>
        <v>36</v>
      </c>
      <c r="J905" s="12">
        <f>I905+I906</f>
        <v>64</v>
      </c>
      <c r="K905" s="20"/>
      <c r="L905" s="6" t="str">
        <f>IF(R905&lt;=12,"有效","无效")</f>
        <v>有效</v>
      </c>
      <c r="M905" s="31" t="s">
        <v>1599</v>
      </c>
      <c r="N905" s="32"/>
      <c r="O905" s="32"/>
      <c r="P905" s="32"/>
      <c r="Q905" s="33"/>
      <c r="R905" s="10">
        <f>LEN(M905)</f>
        <v>9</v>
      </c>
      <c r="S905" s="10">
        <f>MOD(R905,2)*4+FLOOR(R905/2,1)*6</f>
        <v>28</v>
      </c>
      <c r="T905" s="12">
        <f>S905+S906</f>
        <v>58</v>
      </c>
    </row>
    <row r="906" spans="1:20" ht="20" customHeight="1">
      <c r="A906" s="22"/>
      <c r="B906" s="6" t="str">
        <f>IF(H906&lt;=12,"有效","无效")</f>
        <v>有效</v>
      </c>
      <c r="C906" s="31" t="s">
        <v>1596</v>
      </c>
      <c r="D906" s="32"/>
      <c r="E906" s="32"/>
      <c r="F906" s="32"/>
      <c r="G906" s="33"/>
      <c r="H906" s="4">
        <f>LEN(C906)</f>
        <v>9</v>
      </c>
      <c r="I906" s="11">
        <f>MOD(H906,2)*4+FLOOR(H906/2,1)*6</f>
        <v>28</v>
      </c>
      <c r="J906" s="12" t="str">
        <f>IF(J905&lt;I902,"有效","无效")</f>
        <v>有效</v>
      </c>
      <c r="K906" s="20"/>
      <c r="L906" s="6" t="str">
        <f>IF(R906&lt;=12,"有效","无效")</f>
        <v>有效</v>
      </c>
      <c r="M906" s="31" t="s">
        <v>1600</v>
      </c>
      <c r="N906" s="32"/>
      <c r="O906" s="32"/>
      <c r="P906" s="32"/>
      <c r="Q906" s="33"/>
      <c r="R906" s="10">
        <f>LEN(M906)</f>
        <v>10</v>
      </c>
      <c r="S906" s="10">
        <f>MOD(R906,2)*4+FLOOR(R906/2,1)*6</f>
        <v>30</v>
      </c>
      <c r="T906" s="12" t="str">
        <f>IF(T905&lt;I902,"有效","无效")</f>
        <v>有效</v>
      </c>
    </row>
    <row r="907" spans="1:20" ht="20" customHeight="1">
      <c r="A907" s="22">
        <v>182</v>
      </c>
      <c r="B907" s="23" t="s">
        <v>294</v>
      </c>
      <c r="C907" s="24" t="s">
        <v>69</v>
      </c>
      <c r="D907" s="14">
        <f>LEN($B907)</f>
        <v>3</v>
      </c>
      <c r="E907" s="14">
        <f>LEN(C907)+3</f>
        <v>4</v>
      </c>
      <c r="F907" s="14">
        <f>MOD(D907,2)*4+FLOOR(D907/2,1)*6</f>
        <v>10</v>
      </c>
      <c r="G907" s="14">
        <f>MOD(E907,2)*4+FLOOR(E907/2,1)*6</f>
        <v>12</v>
      </c>
      <c r="H907" s="14">
        <v>12</v>
      </c>
      <c r="I907" s="14">
        <f>108-H907-G907-F907</f>
        <v>74</v>
      </c>
    </row>
    <row r="908" spans="1:20" ht="20" customHeight="1">
      <c r="A908" s="22"/>
      <c r="B908" s="6" t="str">
        <f>IF(H908&lt;=12,"有效","无效")</f>
        <v>有效</v>
      </c>
      <c r="C908" s="31" t="s">
        <v>2189</v>
      </c>
      <c r="D908" s="32"/>
      <c r="E908" s="32"/>
      <c r="F908" s="32"/>
      <c r="G908" s="33"/>
      <c r="H908" s="4">
        <f>LEN(C908)</f>
        <v>12</v>
      </c>
      <c r="I908" s="11">
        <f>MOD(H908,2)*4+FLOOR(H908/2,1)*6</f>
        <v>36</v>
      </c>
      <c r="J908" s="12">
        <f>I908+I909</f>
        <v>72</v>
      </c>
      <c r="K908" s="20"/>
      <c r="L908" s="13" t="str">
        <f>IF(R908&lt;=12,"有效","无效")</f>
        <v>有效</v>
      </c>
      <c r="M908" s="32" t="s">
        <v>2352</v>
      </c>
      <c r="N908" s="32"/>
      <c r="O908" s="32"/>
      <c r="P908" s="32"/>
      <c r="Q908" s="33"/>
      <c r="R908" s="10">
        <f>LEN(M908)</f>
        <v>3</v>
      </c>
      <c r="S908" s="10">
        <f>MOD(R908,2)*4+FLOOR(R908/2,1)*6</f>
        <v>10</v>
      </c>
      <c r="T908" s="12">
        <f>S908+S909</f>
        <v>28</v>
      </c>
    </row>
    <row r="909" spans="1:20" ht="20" customHeight="1">
      <c r="A909" s="22"/>
      <c r="B909" s="6" t="str">
        <f>IF(H909&lt;=12,"有效","无效")</f>
        <v>有效</v>
      </c>
      <c r="C909" s="31" t="s">
        <v>2190</v>
      </c>
      <c r="D909" s="32"/>
      <c r="E909" s="32"/>
      <c r="F909" s="32"/>
      <c r="G909" s="33"/>
      <c r="H909" s="4">
        <f>LEN(C909)</f>
        <v>12</v>
      </c>
      <c r="I909" s="11">
        <f>MOD(H909,2)*4+FLOOR(H909/2,1)*6</f>
        <v>36</v>
      </c>
      <c r="J909" s="12" t="str">
        <f>IF(J908&lt;I907,"有效","无效")</f>
        <v>有效</v>
      </c>
      <c r="K909" s="20"/>
      <c r="L909" s="6" t="str">
        <f>IF(R909&lt;=12,"有效","无效")</f>
        <v>有效</v>
      </c>
      <c r="M909" s="31" t="s">
        <v>2353</v>
      </c>
      <c r="N909" s="32"/>
      <c r="O909" s="32"/>
      <c r="P909" s="32"/>
      <c r="Q909" s="33"/>
      <c r="R909" s="10">
        <f>LEN(M909)</f>
        <v>6</v>
      </c>
      <c r="S909" s="10">
        <f>MOD(R909,2)*4+FLOOR(R909/2,1)*6</f>
        <v>18</v>
      </c>
      <c r="T909" s="12" t="str">
        <f>IF(T908&lt;I907,"有效","无效")</f>
        <v>有效</v>
      </c>
    </row>
    <row r="910" spans="1:20" ht="20" customHeight="1">
      <c r="A910" s="22"/>
      <c r="B910" s="6" t="str">
        <f>IF(H910&lt;=12,"有效","无效")</f>
        <v>有效</v>
      </c>
      <c r="C910" s="31" t="s">
        <v>2192</v>
      </c>
      <c r="D910" s="32"/>
      <c r="E910" s="32"/>
      <c r="F910" s="32"/>
      <c r="G910" s="33"/>
      <c r="H910" s="4">
        <f>LEN(C910)</f>
        <v>4</v>
      </c>
      <c r="I910" s="11">
        <f>MOD(H910,2)*4+FLOOR(H910/2,1)*6</f>
        <v>12</v>
      </c>
      <c r="J910" s="12">
        <f>I910+I911</f>
        <v>36</v>
      </c>
      <c r="K910" s="20"/>
      <c r="L910" s="6" t="str">
        <f>IF(R910&lt;=12,"有效","无效")</f>
        <v>有效</v>
      </c>
      <c r="M910" s="31" t="s">
        <v>2351</v>
      </c>
      <c r="N910" s="32"/>
      <c r="O910" s="32"/>
      <c r="P910" s="32"/>
      <c r="Q910" s="33"/>
      <c r="R910" s="10">
        <f>LEN(M910)</f>
        <v>11</v>
      </c>
      <c r="S910" s="10">
        <f>MOD(R910,2)*4+FLOOR(R910/2,1)*6</f>
        <v>34</v>
      </c>
      <c r="T910" s="12">
        <f>S910+S911</f>
        <v>58</v>
      </c>
    </row>
    <row r="911" spans="1:20" ht="20" customHeight="1">
      <c r="A911" s="22"/>
      <c r="B911" s="6" t="str">
        <f>IF(H911&lt;=12,"有效","无效")</f>
        <v>有效</v>
      </c>
      <c r="C911" s="31" t="s">
        <v>2191</v>
      </c>
      <c r="D911" s="32"/>
      <c r="E911" s="32"/>
      <c r="F911" s="32"/>
      <c r="G911" s="33"/>
      <c r="H911" s="4">
        <f>LEN(C911)</f>
        <v>8</v>
      </c>
      <c r="I911" s="11">
        <f>MOD(H911,2)*4+FLOOR(H911/2,1)*6</f>
        <v>24</v>
      </c>
      <c r="J911" s="12" t="str">
        <f>IF(J910&lt;I907,"有效","无效")</f>
        <v>有效</v>
      </c>
      <c r="K911" s="20"/>
      <c r="L911" s="6" t="str">
        <f>IF(R911&lt;=12,"有效","无效")</f>
        <v>有效</v>
      </c>
      <c r="M911" s="31" t="s">
        <v>1601</v>
      </c>
      <c r="N911" s="32"/>
      <c r="O911" s="32"/>
      <c r="P911" s="32"/>
      <c r="Q911" s="33"/>
      <c r="R911" s="10">
        <f>LEN(M911)</f>
        <v>8</v>
      </c>
      <c r="S911" s="10">
        <f>MOD(R911,2)*4+FLOOR(R911/2,1)*6</f>
        <v>24</v>
      </c>
      <c r="T911" s="12" t="str">
        <f>IF(T910&lt;I907,"有效","无效")</f>
        <v>有效</v>
      </c>
    </row>
    <row r="912" spans="1:20" ht="20" customHeight="1">
      <c r="A912" s="22">
        <v>183</v>
      </c>
      <c r="B912" s="23" t="s">
        <v>295</v>
      </c>
      <c r="C912" s="24" t="s">
        <v>296</v>
      </c>
      <c r="D912" s="14">
        <f>LEN($B912)</f>
        <v>3</v>
      </c>
      <c r="E912" s="14">
        <f>LEN(C912)+3</f>
        <v>5</v>
      </c>
      <c r="F912" s="14">
        <f>MOD(D912,2)*4+FLOOR(D912/2,1)*6</f>
        <v>10</v>
      </c>
      <c r="G912" s="14">
        <f>MOD(E912,2)*4+FLOOR(E912/2,1)*6</f>
        <v>16</v>
      </c>
      <c r="H912" s="14">
        <v>12</v>
      </c>
      <c r="I912" s="14">
        <f>108-H912-G912-F912</f>
        <v>70</v>
      </c>
    </row>
    <row r="913" spans="1:20" ht="20" customHeight="1">
      <c r="A913" s="22"/>
      <c r="B913" s="6" t="str">
        <f>IF(H913&lt;=12,"有效","无效")</f>
        <v>有效</v>
      </c>
      <c r="C913" s="34" t="s">
        <v>1602</v>
      </c>
      <c r="D913" s="35"/>
      <c r="E913" s="35"/>
      <c r="F913" s="35"/>
      <c r="G913" s="36"/>
      <c r="H913" s="4">
        <f>LEN(C913)</f>
        <v>7</v>
      </c>
      <c r="I913" s="11">
        <f>MOD(H913,2)*4+FLOOR(H913/2,1)*6</f>
        <v>22</v>
      </c>
      <c r="J913" s="12">
        <f>I913+I914</f>
        <v>44</v>
      </c>
      <c r="K913" s="20"/>
      <c r="L913" s="13" t="str">
        <f>IF(R913&lt;=12,"有效","无效")</f>
        <v>有效</v>
      </c>
      <c r="M913" s="35" t="s">
        <v>1593</v>
      </c>
      <c r="N913" s="35"/>
      <c r="O913" s="35"/>
      <c r="P913" s="35"/>
      <c r="Q913" s="36"/>
      <c r="R913" s="10">
        <f>LEN(M913)</f>
        <v>5</v>
      </c>
      <c r="S913" s="10">
        <f>MOD(R913,2)*4+FLOOR(R913/2,1)*6</f>
        <v>16</v>
      </c>
      <c r="T913" s="12">
        <f>S913+S914</f>
        <v>44</v>
      </c>
    </row>
    <row r="914" spans="1:20" ht="20" customHeight="1">
      <c r="A914" s="22"/>
      <c r="B914" s="6" t="str">
        <f>IF(H914&lt;=12,"有效","无效")</f>
        <v>有效</v>
      </c>
      <c r="C914" s="34" t="s">
        <v>1603</v>
      </c>
      <c r="D914" s="35"/>
      <c r="E914" s="35"/>
      <c r="F914" s="35"/>
      <c r="G914" s="36"/>
      <c r="H914" s="4">
        <f>LEN(C914)</f>
        <v>7</v>
      </c>
      <c r="I914" s="11">
        <f>MOD(H914,2)*4+FLOOR(H914/2,1)*6</f>
        <v>22</v>
      </c>
      <c r="J914" s="12" t="str">
        <f>IF(J913&lt;I912,"有效","无效")</f>
        <v>有效</v>
      </c>
      <c r="K914" s="20"/>
      <c r="L914" s="6" t="str">
        <f>IF(R914&lt;=12,"有效","无效")</f>
        <v>有效</v>
      </c>
      <c r="M914" s="34" t="s">
        <v>1606</v>
      </c>
      <c r="N914" s="35"/>
      <c r="O914" s="35"/>
      <c r="P914" s="35"/>
      <c r="Q914" s="36"/>
      <c r="R914" s="10">
        <f>LEN(M914)</f>
        <v>9</v>
      </c>
      <c r="S914" s="10">
        <f>MOD(R914,2)*4+FLOOR(R914/2,1)*6</f>
        <v>28</v>
      </c>
      <c r="T914" s="12" t="str">
        <f>IF(T913&lt;I912,"有效","无效")</f>
        <v>有效</v>
      </c>
    </row>
    <row r="915" spans="1:20" ht="20" customHeight="1">
      <c r="A915" s="22"/>
      <c r="B915" s="6" t="str">
        <f>IF(H915&lt;=12,"有效","无效")</f>
        <v>有效</v>
      </c>
      <c r="C915" s="34" t="s">
        <v>1604</v>
      </c>
      <c r="D915" s="35"/>
      <c r="E915" s="35"/>
      <c r="F915" s="35"/>
      <c r="G915" s="36"/>
      <c r="H915" s="4">
        <f>LEN(C915)</f>
        <v>9</v>
      </c>
      <c r="I915" s="11">
        <f>MOD(H915,2)*4+FLOOR(H915/2,1)*6</f>
        <v>28</v>
      </c>
      <c r="J915" s="12">
        <f>I915+I916</f>
        <v>46</v>
      </c>
      <c r="K915" s="20"/>
      <c r="L915" s="6" t="str">
        <f>IF(R915&lt;=12,"有效","无效")</f>
        <v>有效</v>
      </c>
      <c r="M915" s="34" t="s">
        <v>1607</v>
      </c>
      <c r="N915" s="35"/>
      <c r="O915" s="35"/>
      <c r="P915" s="35"/>
      <c r="Q915" s="36"/>
      <c r="R915" s="10">
        <f>LEN(M915)</f>
        <v>11</v>
      </c>
      <c r="S915" s="10">
        <f>MOD(R915,2)*4+FLOOR(R915/2,1)*6</f>
        <v>34</v>
      </c>
      <c r="T915" s="12">
        <f>S915+S916</f>
        <v>68</v>
      </c>
    </row>
    <row r="916" spans="1:20" ht="20" customHeight="1">
      <c r="A916" s="22"/>
      <c r="B916" s="6" t="str">
        <f>IF(H916&lt;=12,"有效","无效")</f>
        <v>有效</v>
      </c>
      <c r="C916" s="34" t="s">
        <v>1605</v>
      </c>
      <c r="D916" s="35"/>
      <c r="E916" s="35"/>
      <c r="F916" s="35"/>
      <c r="G916" s="36"/>
      <c r="H916" s="4">
        <f>LEN(C916)</f>
        <v>6</v>
      </c>
      <c r="I916" s="11">
        <f>MOD(H916,2)*4+FLOOR(H916/2,1)*6</f>
        <v>18</v>
      </c>
      <c r="J916" s="12" t="str">
        <f>IF(J915&lt;I912,"有效","无效")</f>
        <v>有效</v>
      </c>
      <c r="K916" s="20"/>
      <c r="L916" s="6" t="str">
        <f>IF(R916&lt;=12,"有效","无效")</f>
        <v>有效</v>
      </c>
      <c r="M916" s="34" t="s">
        <v>1608</v>
      </c>
      <c r="N916" s="35"/>
      <c r="O916" s="35"/>
      <c r="P916" s="35"/>
      <c r="Q916" s="36"/>
      <c r="R916" s="10">
        <f>LEN(M916)</f>
        <v>11</v>
      </c>
      <c r="S916" s="10">
        <f>MOD(R916,2)*4+FLOOR(R916/2,1)*6</f>
        <v>34</v>
      </c>
      <c r="T916" s="12" t="str">
        <f>IF(T915&lt;I912,"有效","无效")</f>
        <v>有效</v>
      </c>
    </row>
    <row r="917" spans="1:20" ht="20" customHeight="1">
      <c r="A917" s="22">
        <v>184</v>
      </c>
      <c r="B917" s="23" t="s">
        <v>297</v>
      </c>
      <c r="C917" s="24" t="s">
        <v>298</v>
      </c>
      <c r="D917" s="14">
        <f>LEN($B917)</f>
        <v>4</v>
      </c>
      <c r="E917" s="14">
        <f>LEN(C917)+3</f>
        <v>5</v>
      </c>
      <c r="F917" s="14">
        <f>MOD(D917,2)*4+FLOOR(D917/2,1)*6</f>
        <v>12</v>
      </c>
      <c r="G917" s="14">
        <f>MOD(E917,2)*4+FLOOR(E917/2,1)*6</f>
        <v>16</v>
      </c>
      <c r="H917" s="14">
        <v>12</v>
      </c>
      <c r="I917" s="14">
        <f>108-H917-G917-F917</f>
        <v>68</v>
      </c>
    </row>
    <row r="918" spans="1:20" ht="20" customHeight="1">
      <c r="A918" s="22"/>
      <c r="B918" s="6" t="str">
        <f>IF(H918&lt;=12,"有效","无效")</f>
        <v>有效</v>
      </c>
      <c r="C918" s="31" t="s">
        <v>2194</v>
      </c>
      <c r="D918" s="32"/>
      <c r="E918" s="32"/>
      <c r="F918" s="32"/>
      <c r="G918" s="33"/>
      <c r="H918" s="4">
        <f>LEN(C918)</f>
        <v>2</v>
      </c>
      <c r="I918" s="11">
        <f>MOD(H918,2)*4+FLOOR(H918/2,1)*6</f>
        <v>6</v>
      </c>
      <c r="J918" s="12">
        <f>I918+I919</f>
        <v>24</v>
      </c>
      <c r="K918" s="20"/>
      <c r="L918" s="13" t="str">
        <f>IF(R918&lt;=12,"有效","无效")</f>
        <v>有效</v>
      </c>
      <c r="M918" s="32" t="s">
        <v>1610</v>
      </c>
      <c r="N918" s="32"/>
      <c r="O918" s="32"/>
      <c r="P918" s="32"/>
      <c r="Q918" s="33"/>
      <c r="R918" s="10">
        <f>LEN(M918)</f>
        <v>8</v>
      </c>
      <c r="S918" s="10">
        <f>MOD(R918,2)*4+FLOOR(R918/2,1)*6</f>
        <v>24</v>
      </c>
      <c r="T918" s="12">
        <f>S918+S919</f>
        <v>46</v>
      </c>
    </row>
    <row r="919" spans="1:20" ht="20" customHeight="1">
      <c r="A919" s="22"/>
      <c r="B919" s="6" t="str">
        <f>IF(H919&lt;=12,"有效","无效")</f>
        <v>有效</v>
      </c>
      <c r="C919" s="31" t="s">
        <v>2195</v>
      </c>
      <c r="D919" s="32"/>
      <c r="E919" s="32"/>
      <c r="F919" s="32"/>
      <c r="G919" s="33"/>
      <c r="H919" s="4">
        <f>LEN(C919)</f>
        <v>6</v>
      </c>
      <c r="I919" s="11">
        <f>MOD(H919,2)*4+FLOOR(H919/2,1)*6</f>
        <v>18</v>
      </c>
      <c r="J919" s="12" t="str">
        <f>IF(J918&lt;I917,"有效","无效")</f>
        <v>有效</v>
      </c>
      <c r="K919" s="20"/>
      <c r="L919" s="6" t="str">
        <f>IF(R919&lt;=12,"有效","无效")</f>
        <v>有效</v>
      </c>
      <c r="M919" s="31" t="s">
        <v>1611</v>
      </c>
      <c r="N919" s="32"/>
      <c r="O919" s="32"/>
      <c r="P919" s="32"/>
      <c r="Q919" s="33"/>
      <c r="R919" s="10">
        <f>LEN(M919)</f>
        <v>7</v>
      </c>
      <c r="S919" s="10">
        <f>MOD(R919,2)*4+FLOOR(R919/2,1)*6</f>
        <v>22</v>
      </c>
      <c r="T919" s="12" t="str">
        <f>IF(T918&lt;I917,"有效","无效")</f>
        <v>有效</v>
      </c>
    </row>
    <row r="920" spans="1:20" ht="20" customHeight="1">
      <c r="A920" s="22"/>
      <c r="B920" s="6" t="str">
        <f>IF(H920&lt;=12,"有效","无效")</f>
        <v>有效</v>
      </c>
      <c r="C920" s="31" t="s">
        <v>2193</v>
      </c>
      <c r="D920" s="32"/>
      <c r="E920" s="32"/>
      <c r="F920" s="32"/>
      <c r="G920" s="33"/>
      <c r="H920" s="4">
        <f>LEN(C920)</f>
        <v>11</v>
      </c>
      <c r="I920" s="11">
        <f>MOD(H920,2)*4+FLOOR(H920/2,1)*6</f>
        <v>34</v>
      </c>
      <c r="J920" s="12">
        <f>I920+I921</f>
        <v>50</v>
      </c>
      <c r="K920" s="20"/>
      <c r="L920" s="6" t="str">
        <f>IF(R920&lt;=12,"有效","无效")</f>
        <v>有效</v>
      </c>
      <c r="M920" s="31" t="s">
        <v>1612</v>
      </c>
      <c r="N920" s="32"/>
      <c r="O920" s="32"/>
      <c r="P920" s="32"/>
      <c r="Q920" s="33"/>
      <c r="R920" s="10">
        <f>LEN(M920)</f>
        <v>7</v>
      </c>
      <c r="S920" s="10">
        <f>MOD(R920,2)*4+FLOOR(R920/2,1)*6</f>
        <v>22</v>
      </c>
      <c r="T920" s="12">
        <f>S920+S921</f>
        <v>34</v>
      </c>
    </row>
    <row r="921" spans="1:20" ht="20" customHeight="1">
      <c r="A921" s="22"/>
      <c r="B921" s="6" t="str">
        <f>IF(H921&lt;=12,"有效","无效")</f>
        <v>有效</v>
      </c>
      <c r="C921" s="31" t="s">
        <v>1609</v>
      </c>
      <c r="D921" s="32"/>
      <c r="E921" s="32"/>
      <c r="F921" s="32"/>
      <c r="G921" s="33"/>
      <c r="H921" s="4">
        <f>LEN(C921)</f>
        <v>5</v>
      </c>
      <c r="I921" s="11">
        <f>MOD(H921,2)*4+FLOOR(H921/2,1)*6</f>
        <v>16</v>
      </c>
      <c r="J921" s="12" t="str">
        <f>IF(J920&lt;I917,"有效","无效")</f>
        <v>有效</v>
      </c>
      <c r="K921" s="20"/>
      <c r="L921" s="6" t="str">
        <f>IF(R921&lt;=12,"有效","无效")</f>
        <v>有效</v>
      </c>
      <c r="M921" s="31" t="s">
        <v>1613</v>
      </c>
      <c r="N921" s="32"/>
      <c r="O921" s="32"/>
      <c r="P921" s="32"/>
      <c r="Q921" s="33"/>
      <c r="R921" s="10">
        <f>LEN(M921)</f>
        <v>4</v>
      </c>
      <c r="S921" s="10">
        <f>MOD(R921,2)*4+FLOOR(R921/2,1)*6</f>
        <v>12</v>
      </c>
      <c r="T921" s="12" t="str">
        <f>IF(T920&lt;I917,"有效","无效")</f>
        <v>有效</v>
      </c>
    </row>
    <row r="922" spans="1:20" ht="20" customHeight="1">
      <c r="A922" s="22">
        <v>185</v>
      </c>
      <c r="B922" s="23" t="s">
        <v>299</v>
      </c>
      <c r="C922" s="24" t="s">
        <v>300</v>
      </c>
      <c r="D922" s="14">
        <f>LEN($B922)</f>
        <v>3</v>
      </c>
      <c r="E922" s="14">
        <f>LEN(C922)+3</f>
        <v>5</v>
      </c>
      <c r="F922" s="14">
        <f>MOD(D922,2)*4+FLOOR(D922/2,1)*6</f>
        <v>10</v>
      </c>
      <c r="G922" s="14">
        <f>MOD(E922,2)*4+FLOOR(E922/2,1)*6</f>
        <v>16</v>
      </c>
      <c r="H922" s="14">
        <v>12</v>
      </c>
      <c r="I922" s="14">
        <f>108-H922-G922-F922</f>
        <v>70</v>
      </c>
    </row>
    <row r="923" spans="1:20" ht="20" customHeight="1">
      <c r="A923" s="22"/>
      <c r="B923" s="6" t="str">
        <f>IF(H923&lt;=12,"有效","无效")</f>
        <v>有效</v>
      </c>
      <c r="C923" s="31" t="s">
        <v>1614</v>
      </c>
      <c r="D923" s="32"/>
      <c r="E923" s="32"/>
      <c r="F923" s="32"/>
      <c r="G923" s="33"/>
      <c r="H923" s="4">
        <f>LEN(C923)</f>
        <v>10</v>
      </c>
      <c r="I923" s="11">
        <f>MOD(H923,2)*4+FLOOR(H923/2,1)*6</f>
        <v>30</v>
      </c>
      <c r="J923" s="12">
        <f>I923+I924</f>
        <v>60</v>
      </c>
      <c r="K923" s="20"/>
      <c r="L923" s="13" t="str">
        <f>IF(R923&lt;=12,"有效","无效")</f>
        <v>有效</v>
      </c>
      <c r="M923" s="32" t="s">
        <v>1618</v>
      </c>
      <c r="N923" s="32"/>
      <c r="O923" s="32"/>
      <c r="P923" s="32"/>
      <c r="Q923" s="33"/>
      <c r="R923" s="10">
        <f>LEN(M923)</f>
        <v>6</v>
      </c>
      <c r="S923" s="10">
        <f>MOD(R923,2)*4+FLOOR(R923/2,1)*6</f>
        <v>18</v>
      </c>
      <c r="T923" s="12">
        <f>S923+S924</f>
        <v>42</v>
      </c>
    </row>
    <row r="924" spans="1:20" ht="20" customHeight="1">
      <c r="A924" s="22"/>
      <c r="B924" s="6" t="str">
        <f>IF(H924&lt;=12,"有效","无效")</f>
        <v>有效</v>
      </c>
      <c r="C924" s="31" t="s">
        <v>1615</v>
      </c>
      <c r="D924" s="32"/>
      <c r="E924" s="32"/>
      <c r="F924" s="32"/>
      <c r="G924" s="33"/>
      <c r="H924" s="4">
        <f>LEN(C924)</f>
        <v>10</v>
      </c>
      <c r="I924" s="11">
        <f>MOD(H924,2)*4+FLOOR(H924/2,1)*6</f>
        <v>30</v>
      </c>
      <c r="J924" s="12" t="str">
        <f>IF(J923&lt;I922,"有效","无效")</f>
        <v>有效</v>
      </c>
      <c r="K924" s="20"/>
      <c r="L924" s="6" t="str">
        <f>IF(R924&lt;=12,"有效","无效")</f>
        <v>有效</v>
      </c>
      <c r="M924" s="31" t="s">
        <v>1619</v>
      </c>
      <c r="N924" s="32"/>
      <c r="O924" s="32"/>
      <c r="P924" s="32"/>
      <c r="Q924" s="33"/>
      <c r="R924" s="10">
        <f>LEN(M924)</f>
        <v>8</v>
      </c>
      <c r="S924" s="10">
        <f>MOD(R924,2)*4+FLOOR(R924/2,1)*6</f>
        <v>24</v>
      </c>
      <c r="T924" s="12" t="str">
        <f>IF(T923&lt;I922,"有效","无效")</f>
        <v>有效</v>
      </c>
    </row>
    <row r="925" spans="1:20" ht="20" customHeight="1">
      <c r="A925" s="22"/>
      <c r="B925" s="6" t="str">
        <f>IF(H925&lt;=12,"有效","无效")</f>
        <v>有效</v>
      </c>
      <c r="C925" s="31" t="s">
        <v>1616</v>
      </c>
      <c r="D925" s="32"/>
      <c r="E925" s="32"/>
      <c r="F925" s="32"/>
      <c r="G925" s="33"/>
      <c r="H925" s="4">
        <f>LEN(C925)</f>
        <v>7</v>
      </c>
      <c r="I925" s="11">
        <f>MOD(H925,2)*4+FLOOR(H925/2,1)*6</f>
        <v>22</v>
      </c>
      <c r="J925" s="12">
        <f>I925+I926</f>
        <v>50</v>
      </c>
      <c r="K925" s="20"/>
      <c r="L925" s="6" t="str">
        <f>IF(R925&lt;=12,"有效","无效")</f>
        <v>有效</v>
      </c>
      <c r="M925" s="31" t="s">
        <v>1620</v>
      </c>
      <c r="N925" s="32"/>
      <c r="O925" s="32"/>
      <c r="P925" s="32"/>
      <c r="Q925" s="33"/>
      <c r="R925" s="10">
        <f>LEN(M925)</f>
        <v>11</v>
      </c>
      <c r="S925" s="10">
        <f>MOD(R925,2)*4+FLOOR(R925/2,1)*6</f>
        <v>34</v>
      </c>
      <c r="T925" s="12">
        <f>S925+S926</f>
        <v>68</v>
      </c>
    </row>
    <row r="926" spans="1:20" ht="20" customHeight="1">
      <c r="A926" s="22"/>
      <c r="B926" s="6" t="str">
        <f>IF(H926&lt;=12,"有效","无效")</f>
        <v>有效</v>
      </c>
      <c r="C926" s="31" t="s">
        <v>1617</v>
      </c>
      <c r="D926" s="32"/>
      <c r="E926" s="32"/>
      <c r="F926" s="32"/>
      <c r="G926" s="33"/>
      <c r="H926" s="4">
        <f>LEN(C926)</f>
        <v>9</v>
      </c>
      <c r="I926" s="11">
        <f>MOD(H926,2)*4+FLOOR(H926/2,1)*6</f>
        <v>28</v>
      </c>
      <c r="J926" s="12" t="str">
        <f>IF(J925&lt;I922,"有效","无效")</f>
        <v>有效</v>
      </c>
      <c r="K926" s="20"/>
      <c r="L926" s="6" t="str">
        <f>IF(R926&lt;=12,"有效","无效")</f>
        <v>有效</v>
      </c>
      <c r="M926" s="31" t="s">
        <v>1621</v>
      </c>
      <c r="N926" s="32"/>
      <c r="O926" s="32"/>
      <c r="P926" s="32"/>
      <c r="Q926" s="33"/>
      <c r="R926" s="10">
        <f>LEN(M926)</f>
        <v>11</v>
      </c>
      <c r="S926" s="10">
        <f>MOD(R926,2)*4+FLOOR(R926/2,1)*6</f>
        <v>34</v>
      </c>
      <c r="T926" s="12" t="str">
        <f>IF(T925&lt;I922,"有效","无效")</f>
        <v>有效</v>
      </c>
    </row>
    <row r="927" spans="1:20" ht="20" customHeight="1">
      <c r="A927" s="22">
        <v>186</v>
      </c>
      <c r="B927" s="23" t="s">
        <v>301</v>
      </c>
      <c r="C927" s="24" t="s">
        <v>302</v>
      </c>
      <c r="D927" s="14">
        <f>LEN($B927)</f>
        <v>4</v>
      </c>
      <c r="E927" s="14">
        <f>LEN(C927)+3</f>
        <v>4</v>
      </c>
      <c r="F927" s="14">
        <f>MOD(D927,2)*4+FLOOR(D927/2,1)*6</f>
        <v>12</v>
      </c>
      <c r="G927" s="14">
        <f>MOD(E927,2)*4+FLOOR(E927/2,1)*6</f>
        <v>12</v>
      </c>
      <c r="H927" s="14">
        <v>12</v>
      </c>
      <c r="I927" s="14">
        <f>108-H927-G927-F927</f>
        <v>72</v>
      </c>
    </row>
    <row r="928" spans="1:20" ht="20" customHeight="1">
      <c r="A928" s="22"/>
      <c r="B928" s="6" t="str">
        <f>IF(H928&lt;=12,"有效","无效")</f>
        <v>有效</v>
      </c>
      <c r="C928" s="31" t="s">
        <v>2197</v>
      </c>
      <c r="D928" s="32"/>
      <c r="E928" s="32"/>
      <c r="F928" s="32"/>
      <c r="G928" s="33"/>
      <c r="H928" s="4">
        <f>LEN(C928)</f>
        <v>2</v>
      </c>
      <c r="I928" s="11">
        <f>MOD(H928,2)*4+FLOOR(H928/2,1)*6</f>
        <v>6</v>
      </c>
      <c r="J928" s="12">
        <f>I928+I929</f>
        <v>24</v>
      </c>
      <c r="K928" s="20"/>
      <c r="L928" s="13" t="str">
        <f>IF(R928&lt;=12,"有效","无效")</f>
        <v>有效</v>
      </c>
      <c r="M928" s="32" t="s">
        <v>1623</v>
      </c>
      <c r="N928" s="32"/>
      <c r="O928" s="32"/>
      <c r="P928" s="32"/>
      <c r="Q928" s="33"/>
      <c r="R928" s="10">
        <f>LEN(M928)</f>
        <v>9</v>
      </c>
      <c r="S928" s="10">
        <f>MOD(R928,2)*4+FLOOR(R928/2,1)*6</f>
        <v>28</v>
      </c>
      <c r="T928" s="12">
        <f>S928+S929</f>
        <v>46</v>
      </c>
    </row>
    <row r="929" spans="1:20" ht="20" customHeight="1">
      <c r="A929" s="22"/>
      <c r="B929" s="6" t="str">
        <f>IF(H929&lt;=12,"有效","无效")</f>
        <v>有效</v>
      </c>
      <c r="C929" s="31" t="s">
        <v>2198</v>
      </c>
      <c r="D929" s="32"/>
      <c r="E929" s="32"/>
      <c r="F929" s="32"/>
      <c r="G929" s="33"/>
      <c r="H929" s="4">
        <f>LEN(C929)</f>
        <v>6</v>
      </c>
      <c r="I929" s="11">
        <f>MOD(H929,2)*4+FLOOR(H929/2,1)*6</f>
        <v>18</v>
      </c>
      <c r="J929" s="12" t="str">
        <f>IF(J928&lt;I927,"有效","无效")</f>
        <v>有效</v>
      </c>
      <c r="K929" s="20"/>
      <c r="L929" s="6" t="str">
        <f>IF(R929&lt;=12,"有效","无效")</f>
        <v>有效</v>
      </c>
      <c r="M929" s="31" t="s">
        <v>1624</v>
      </c>
      <c r="N929" s="32"/>
      <c r="O929" s="32"/>
      <c r="P929" s="32"/>
      <c r="Q929" s="33"/>
      <c r="R929" s="10">
        <f>LEN(M929)</f>
        <v>6</v>
      </c>
      <c r="S929" s="10">
        <f>MOD(R929,2)*4+FLOOR(R929/2,1)*6</f>
        <v>18</v>
      </c>
      <c r="T929" s="12" t="str">
        <f>IF(T928&lt;I927,"有效","无效")</f>
        <v>有效</v>
      </c>
    </row>
    <row r="930" spans="1:20" ht="20" customHeight="1">
      <c r="A930" s="22"/>
      <c r="B930" s="6" t="str">
        <f>IF(H930&lt;=12,"有效","无效")</f>
        <v>有效</v>
      </c>
      <c r="C930" s="31" t="s">
        <v>2196</v>
      </c>
      <c r="D930" s="32"/>
      <c r="E930" s="32"/>
      <c r="F930" s="32"/>
      <c r="G930" s="33"/>
      <c r="H930" s="4">
        <f>LEN(C930)</f>
        <v>11</v>
      </c>
      <c r="I930" s="11">
        <f>MOD(H930,2)*4+FLOOR(H930/2,1)*6</f>
        <v>34</v>
      </c>
      <c r="J930" s="12">
        <f>I930+I931</f>
        <v>58</v>
      </c>
      <c r="K930" s="20"/>
      <c r="L930" s="6" t="str">
        <f>IF(R930&lt;=12,"有效","无效")</f>
        <v>有效</v>
      </c>
      <c r="M930" s="31" t="s">
        <v>1625</v>
      </c>
      <c r="N930" s="32"/>
      <c r="O930" s="32"/>
      <c r="P930" s="32"/>
      <c r="Q930" s="33"/>
      <c r="R930" s="10">
        <f>LEN(M930)</f>
        <v>9</v>
      </c>
      <c r="S930" s="10">
        <f>MOD(R930,2)*4+FLOOR(R930/2,1)*6</f>
        <v>28</v>
      </c>
      <c r="T930" s="12">
        <f>S930+S931</f>
        <v>50</v>
      </c>
    </row>
    <row r="931" spans="1:20" ht="20" customHeight="1">
      <c r="A931" s="22"/>
      <c r="B931" s="6" t="str">
        <f>IF(H931&lt;=12,"有效","无效")</f>
        <v>有效</v>
      </c>
      <c r="C931" s="31" t="s">
        <v>1622</v>
      </c>
      <c r="D931" s="32"/>
      <c r="E931" s="32"/>
      <c r="F931" s="32"/>
      <c r="G931" s="33"/>
      <c r="H931" s="4">
        <f>LEN(C931)</f>
        <v>8</v>
      </c>
      <c r="I931" s="11">
        <f>MOD(H931,2)*4+FLOOR(H931/2,1)*6</f>
        <v>24</v>
      </c>
      <c r="J931" s="12" t="str">
        <f>IF(J930&lt;I927,"有效","无效")</f>
        <v>有效</v>
      </c>
      <c r="K931" s="20"/>
      <c r="L931" s="6" t="str">
        <f>IF(R931&lt;=12,"有效","无效")</f>
        <v>有效</v>
      </c>
      <c r="M931" s="31" t="s">
        <v>1626</v>
      </c>
      <c r="N931" s="32"/>
      <c r="O931" s="32"/>
      <c r="P931" s="32"/>
      <c r="Q931" s="33"/>
      <c r="R931" s="10">
        <f>LEN(M931)</f>
        <v>7</v>
      </c>
      <c r="S931" s="10">
        <f>MOD(R931,2)*4+FLOOR(R931/2,1)*6</f>
        <v>22</v>
      </c>
      <c r="T931" s="12" t="str">
        <f>IF(T930&lt;I927,"有效","无效")</f>
        <v>有效</v>
      </c>
    </row>
    <row r="932" spans="1:20" ht="20" customHeight="1">
      <c r="A932" s="22">
        <v>187</v>
      </c>
      <c r="B932" s="23" t="s">
        <v>303</v>
      </c>
      <c r="C932" s="24" t="s">
        <v>304</v>
      </c>
      <c r="D932" s="14">
        <f>LEN($B932)</f>
        <v>3</v>
      </c>
      <c r="E932" s="14">
        <f>LEN(C932)+3</f>
        <v>5</v>
      </c>
      <c r="F932" s="14">
        <f>MOD(D932,2)*4+FLOOR(D932/2,1)*6</f>
        <v>10</v>
      </c>
      <c r="G932" s="14">
        <f>MOD(E932,2)*4+FLOOR(E932/2,1)*6</f>
        <v>16</v>
      </c>
      <c r="H932" s="14">
        <v>12</v>
      </c>
      <c r="I932" s="14">
        <f>108-H932-G932-F932</f>
        <v>70</v>
      </c>
    </row>
    <row r="933" spans="1:20" ht="20" customHeight="1">
      <c r="A933" s="22"/>
      <c r="B933" s="6" t="str">
        <f>IF(H933&lt;=12,"有效","无效")</f>
        <v>有效</v>
      </c>
      <c r="C933" s="34" t="s">
        <v>2200</v>
      </c>
      <c r="D933" s="35"/>
      <c r="E933" s="35"/>
      <c r="F933" s="35"/>
      <c r="G933" s="36"/>
      <c r="H933" s="4">
        <f>LEN(C933)</f>
        <v>7</v>
      </c>
      <c r="I933" s="11">
        <f>MOD(H933,2)*4+FLOOR(H933/2,1)*6</f>
        <v>22</v>
      </c>
      <c r="J933" s="12">
        <f>I933+I934</f>
        <v>58</v>
      </c>
      <c r="K933" s="20"/>
      <c r="L933" s="13" t="str">
        <f>IF(R933&lt;=12,"有效","无效")</f>
        <v>有效</v>
      </c>
      <c r="M933" s="32" t="s">
        <v>1627</v>
      </c>
      <c r="N933" s="32"/>
      <c r="O933" s="32"/>
      <c r="P933" s="32"/>
      <c r="Q933" s="33"/>
      <c r="R933" s="10">
        <f>LEN(M933)</f>
        <v>7</v>
      </c>
      <c r="S933" s="10">
        <f>MOD(R933,2)*4+FLOOR(R933/2,1)*6</f>
        <v>22</v>
      </c>
      <c r="T933" s="12">
        <f>S933+S934</f>
        <v>40</v>
      </c>
    </row>
    <row r="934" spans="1:20" ht="20" customHeight="1">
      <c r="A934" s="22"/>
      <c r="B934" s="6" t="str">
        <f>IF(H934&lt;=12,"有效","无效")</f>
        <v>有效</v>
      </c>
      <c r="C934" s="34" t="s">
        <v>2199</v>
      </c>
      <c r="D934" s="35"/>
      <c r="E934" s="35"/>
      <c r="F934" s="35"/>
      <c r="G934" s="36"/>
      <c r="H934" s="4">
        <f>LEN(C934)</f>
        <v>12</v>
      </c>
      <c r="I934" s="11">
        <f>MOD(H934,2)*4+FLOOR(H934/2,1)*6</f>
        <v>36</v>
      </c>
      <c r="J934" s="12" t="str">
        <f>IF(J933&lt;I932,"有效","无效")</f>
        <v>有效</v>
      </c>
      <c r="K934" s="20"/>
      <c r="L934" s="6" t="str">
        <f>IF(R934&lt;=12,"有效","无效")</f>
        <v>有效</v>
      </c>
      <c r="M934" s="31" t="s">
        <v>1628</v>
      </c>
      <c r="N934" s="32"/>
      <c r="O934" s="32"/>
      <c r="P934" s="32"/>
      <c r="Q934" s="33"/>
      <c r="R934" s="10">
        <f>LEN(M934)</f>
        <v>6</v>
      </c>
      <c r="S934" s="10">
        <f>MOD(R934,2)*4+FLOOR(R934/2,1)*6</f>
        <v>18</v>
      </c>
      <c r="T934" s="12" t="str">
        <f>IF(T933&lt;I932,"有效","无效")</f>
        <v>有效</v>
      </c>
    </row>
    <row r="935" spans="1:20" ht="20" customHeight="1">
      <c r="A935" s="22"/>
      <c r="B935" s="6" t="str">
        <f>IF(H935&lt;=12,"有效","无效")</f>
        <v>有效</v>
      </c>
      <c r="C935" s="34" t="s">
        <v>2202</v>
      </c>
      <c r="D935" s="35"/>
      <c r="E935" s="35"/>
      <c r="F935" s="35"/>
      <c r="G935" s="36"/>
      <c r="H935" s="4">
        <f>LEN(C935)</f>
        <v>5</v>
      </c>
      <c r="I935" s="11">
        <f>MOD(H935,2)*4+FLOOR(H935/2,1)*6</f>
        <v>16</v>
      </c>
      <c r="J935" s="12">
        <f>I935+I936</f>
        <v>34</v>
      </c>
      <c r="K935" s="20"/>
      <c r="L935" s="6" t="str">
        <f>IF(R935&lt;=12,"有效","无效")</f>
        <v>有效</v>
      </c>
      <c r="M935" s="31" t="s">
        <v>1629</v>
      </c>
      <c r="N935" s="32"/>
      <c r="O935" s="32"/>
      <c r="P935" s="32"/>
      <c r="Q935" s="33"/>
      <c r="R935" s="10">
        <f>LEN(M935)</f>
        <v>4</v>
      </c>
      <c r="S935" s="10">
        <f>MOD(R935,2)*4+FLOOR(R935/2,1)*6</f>
        <v>12</v>
      </c>
      <c r="T935" s="12">
        <f>S935+S936</f>
        <v>34</v>
      </c>
    </row>
    <row r="936" spans="1:20" ht="20" customHeight="1">
      <c r="A936" s="22"/>
      <c r="B936" s="6" t="str">
        <f>IF(H936&lt;=12,"有效","无效")</f>
        <v>有效</v>
      </c>
      <c r="C936" s="34" t="s">
        <v>2201</v>
      </c>
      <c r="D936" s="35"/>
      <c r="E936" s="35"/>
      <c r="F936" s="35"/>
      <c r="G936" s="36"/>
      <c r="H936" s="4">
        <f>LEN(C936)</f>
        <v>6</v>
      </c>
      <c r="I936" s="11">
        <f>MOD(H936,2)*4+FLOOR(H936/2,1)*6</f>
        <v>18</v>
      </c>
      <c r="J936" s="12" t="str">
        <f>IF(J935&lt;I932,"有效","无效")</f>
        <v>有效</v>
      </c>
      <c r="K936" s="20"/>
      <c r="L936" s="6" t="str">
        <f>IF(R936&lt;=12,"有效","无效")</f>
        <v>有效</v>
      </c>
      <c r="M936" s="31" t="s">
        <v>1630</v>
      </c>
      <c r="N936" s="32"/>
      <c r="O936" s="32"/>
      <c r="P936" s="32"/>
      <c r="Q936" s="33"/>
      <c r="R936" s="10">
        <f>LEN(M936)</f>
        <v>7</v>
      </c>
      <c r="S936" s="10">
        <f>MOD(R936,2)*4+FLOOR(R936/2,1)*6</f>
        <v>22</v>
      </c>
      <c r="T936" s="12" t="str">
        <f>IF(T935&lt;I932,"有效","无效")</f>
        <v>有效</v>
      </c>
    </row>
    <row r="937" spans="1:20" ht="20" customHeight="1">
      <c r="A937" s="22">
        <v>188</v>
      </c>
      <c r="B937" s="23" t="s">
        <v>305</v>
      </c>
      <c r="C937" s="24" t="s">
        <v>304</v>
      </c>
      <c r="D937" s="14">
        <f>LEN($B937)</f>
        <v>3</v>
      </c>
      <c r="E937" s="14">
        <f>LEN(C937)+3</f>
        <v>5</v>
      </c>
      <c r="F937" s="14">
        <f>MOD(D937,2)*4+FLOOR(D937/2,1)*6</f>
        <v>10</v>
      </c>
      <c r="G937" s="14">
        <f>MOD(E937,2)*4+FLOOR(E937/2,1)*6</f>
        <v>16</v>
      </c>
      <c r="H937" s="14">
        <v>12</v>
      </c>
      <c r="I937" s="14">
        <f>108-H937-G937-F937</f>
        <v>70</v>
      </c>
    </row>
    <row r="938" spans="1:20" ht="20" customHeight="1">
      <c r="A938" s="22"/>
      <c r="B938" s="6" t="str">
        <f>IF(H938&lt;=12,"有效","无效")</f>
        <v>有效</v>
      </c>
      <c r="C938" s="31" t="s">
        <v>1631</v>
      </c>
      <c r="D938" s="32"/>
      <c r="E938" s="32"/>
      <c r="F938" s="32"/>
      <c r="G938" s="33"/>
      <c r="H938" s="4">
        <f>LEN(C938)</f>
        <v>3</v>
      </c>
      <c r="I938" s="11">
        <f>MOD(H938,2)*4+FLOOR(H938/2,1)*6</f>
        <v>10</v>
      </c>
      <c r="J938" s="12">
        <f>I938+I939</f>
        <v>26</v>
      </c>
      <c r="K938" s="20"/>
      <c r="L938" s="13" t="str">
        <f>IF(R938&lt;=12,"有效","无效")</f>
        <v>有效</v>
      </c>
      <c r="M938" s="32" t="s">
        <v>1635</v>
      </c>
      <c r="N938" s="32"/>
      <c r="O938" s="32"/>
      <c r="P938" s="32"/>
      <c r="Q938" s="33"/>
      <c r="R938" s="10">
        <f>LEN(M938)</f>
        <v>7</v>
      </c>
      <c r="S938" s="10">
        <f>MOD(R938,2)*4+FLOOR(R938/2,1)*6</f>
        <v>22</v>
      </c>
      <c r="T938" s="12">
        <f>S938+S939</f>
        <v>46</v>
      </c>
    </row>
    <row r="939" spans="1:20" ht="20" customHeight="1">
      <c r="A939" s="22"/>
      <c r="B939" s="6" t="str">
        <f>IF(H939&lt;=12,"有效","无效")</f>
        <v>有效</v>
      </c>
      <c r="C939" s="31" t="s">
        <v>1632</v>
      </c>
      <c r="D939" s="32"/>
      <c r="E939" s="32"/>
      <c r="F939" s="32"/>
      <c r="G939" s="33"/>
      <c r="H939" s="4">
        <f>LEN(C939)</f>
        <v>5</v>
      </c>
      <c r="I939" s="11">
        <f>MOD(H939,2)*4+FLOOR(H939/2,1)*6</f>
        <v>16</v>
      </c>
      <c r="J939" s="12" t="str">
        <f>IF(J938&lt;I937,"有效","无效")</f>
        <v>有效</v>
      </c>
      <c r="K939" s="20"/>
      <c r="L939" s="6" t="str">
        <f>IF(R939&lt;=12,"有效","无效")</f>
        <v>有效</v>
      </c>
      <c r="M939" s="31" t="s">
        <v>1636</v>
      </c>
      <c r="N939" s="32"/>
      <c r="O939" s="32"/>
      <c r="P939" s="32"/>
      <c r="Q939" s="33"/>
      <c r="R939" s="10">
        <f>LEN(M939)</f>
        <v>8</v>
      </c>
      <c r="S939" s="10">
        <f>MOD(R939,2)*4+FLOOR(R939/2,1)*6</f>
        <v>24</v>
      </c>
      <c r="T939" s="12" t="str">
        <f>IF(T938&lt;I937,"有效","无效")</f>
        <v>有效</v>
      </c>
    </row>
    <row r="940" spans="1:20" ht="20" customHeight="1">
      <c r="A940" s="22"/>
      <c r="B940" s="6" t="str">
        <f>IF(H940&lt;=12,"有效","无效")</f>
        <v>有效</v>
      </c>
      <c r="C940" s="31" t="s">
        <v>1633</v>
      </c>
      <c r="D940" s="32"/>
      <c r="E940" s="32"/>
      <c r="F940" s="32"/>
      <c r="G940" s="33"/>
      <c r="H940" s="4">
        <f>LEN(C940)</f>
        <v>8</v>
      </c>
      <c r="I940" s="11">
        <f>MOD(H940,2)*4+FLOOR(H940/2,1)*6</f>
        <v>24</v>
      </c>
      <c r="J940" s="12">
        <f>I940+I941</f>
        <v>46</v>
      </c>
      <c r="K940" s="20"/>
      <c r="L940" s="6" t="str">
        <f>IF(R940&lt;=12,"有效","无效")</f>
        <v>有效</v>
      </c>
      <c r="M940" s="31" t="s">
        <v>1637</v>
      </c>
      <c r="N940" s="32"/>
      <c r="O940" s="32"/>
      <c r="P940" s="32"/>
      <c r="Q940" s="33"/>
      <c r="R940" s="10">
        <f>LEN(M940)</f>
        <v>9</v>
      </c>
      <c r="S940" s="10">
        <f>MOD(R940,2)*4+FLOOR(R940/2,1)*6</f>
        <v>28</v>
      </c>
      <c r="T940" s="12">
        <f>S940+S941</f>
        <v>46</v>
      </c>
    </row>
    <row r="941" spans="1:20" ht="20" customHeight="1">
      <c r="A941" s="22"/>
      <c r="B941" s="6" t="str">
        <f>IF(H941&lt;=12,"有效","无效")</f>
        <v>有效</v>
      </c>
      <c r="C941" s="31" t="s">
        <v>1634</v>
      </c>
      <c r="D941" s="32"/>
      <c r="E941" s="32"/>
      <c r="F941" s="32"/>
      <c r="G941" s="33"/>
      <c r="H941" s="4">
        <f>LEN(C941)</f>
        <v>7</v>
      </c>
      <c r="I941" s="11">
        <f>MOD(H941,2)*4+FLOOR(H941/2,1)*6</f>
        <v>22</v>
      </c>
      <c r="J941" s="12" t="str">
        <f>IF(J940&lt;I937,"有效","无效")</f>
        <v>有效</v>
      </c>
      <c r="K941" s="20"/>
      <c r="L941" s="6" t="str">
        <f>IF(R941&lt;=12,"有效","无效")</f>
        <v>有效</v>
      </c>
      <c r="M941" s="31" t="s">
        <v>1638</v>
      </c>
      <c r="N941" s="32"/>
      <c r="O941" s="32"/>
      <c r="P941" s="32"/>
      <c r="Q941" s="33"/>
      <c r="R941" s="10">
        <f>LEN(M941)</f>
        <v>6</v>
      </c>
      <c r="S941" s="10">
        <f>MOD(R941,2)*4+FLOOR(R941/2,1)*6</f>
        <v>18</v>
      </c>
      <c r="T941" s="12" t="str">
        <f>IF(T940&lt;I937,"有效","无效")</f>
        <v>有效</v>
      </c>
    </row>
    <row r="942" spans="1:20" ht="20" customHeight="1">
      <c r="A942" s="22">
        <v>189</v>
      </c>
      <c r="B942" s="23" t="s">
        <v>306</v>
      </c>
      <c r="C942" s="24" t="s">
        <v>304</v>
      </c>
      <c r="D942" s="14">
        <f>LEN($B942)</f>
        <v>3</v>
      </c>
      <c r="E942" s="14">
        <f>LEN(C942)+3</f>
        <v>5</v>
      </c>
      <c r="F942" s="14">
        <f>MOD(D942,2)*4+FLOOR(D942/2,1)*6</f>
        <v>10</v>
      </c>
      <c r="G942" s="14">
        <f>MOD(E942,2)*4+FLOOR(E942/2,1)*6</f>
        <v>16</v>
      </c>
      <c r="H942" s="14">
        <v>12</v>
      </c>
      <c r="I942" s="14">
        <f>108-H942-G942-F942</f>
        <v>70</v>
      </c>
    </row>
    <row r="943" spans="1:20" ht="20" customHeight="1">
      <c r="A943" s="22"/>
      <c r="B943" s="6" t="str">
        <f>IF(H943&lt;=12,"有效","无效")</f>
        <v>有效</v>
      </c>
      <c r="C943" s="34" t="s">
        <v>1639</v>
      </c>
      <c r="D943" s="35"/>
      <c r="E943" s="35"/>
      <c r="F943" s="35"/>
      <c r="G943" s="36"/>
      <c r="H943" s="4">
        <f>LEN(C943)</f>
        <v>7</v>
      </c>
      <c r="I943" s="11">
        <f>MOD(H943,2)*4+FLOOR(H943/2,1)*6</f>
        <v>22</v>
      </c>
      <c r="J943" s="12">
        <f>I943+I944</f>
        <v>56</v>
      </c>
      <c r="K943" s="20"/>
      <c r="L943" s="13" t="str">
        <f>IF(R943&lt;=12,"有效","无效")</f>
        <v>有效</v>
      </c>
      <c r="M943" s="32" t="s">
        <v>1640</v>
      </c>
      <c r="N943" s="32"/>
      <c r="O943" s="32"/>
      <c r="P943" s="32"/>
      <c r="Q943" s="33"/>
      <c r="R943" s="10">
        <f>LEN(M943)</f>
        <v>9</v>
      </c>
      <c r="S943" s="10">
        <f>MOD(R943,2)*4+FLOOR(R943/2,1)*6</f>
        <v>28</v>
      </c>
      <c r="T943" s="12">
        <f>S943+S944</f>
        <v>58</v>
      </c>
    </row>
    <row r="944" spans="1:20" ht="20" customHeight="1">
      <c r="A944" s="22"/>
      <c r="B944" s="6" t="str">
        <f>IF(H944&lt;=12,"有效","无效")</f>
        <v>有效</v>
      </c>
      <c r="C944" s="34" t="s">
        <v>2203</v>
      </c>
      <c r="D944" s="35"/>
      <c r="E944" s="35"/>
      <c r="F944" s="35"/>
      <c r="G944" s="36"/>
      <c r="H944" s="4">
        <f>LEN(C944)</f>
        <v>11</v>
      </c>
      <c r="I944" s="11">
        <f>MOD(H944,2)*4+FLOOR(H944/2,1)*6</f>
        <v>34</v>
      </c>
      <c r="J944" s="12" t="str">
        <f>IF(J943&lt;I942,"有效","无效")</f>
        <v>有效</v>
      </c>
      <c r="K944" s="20"/>
      <c r="L944" s="6" t="str">
        <f>IF(R944&lt;=12,"有效","无效")</f>
        <v>有效</v>
      </c>
      <c r="M944" s="31" t="s">
        <v>1641</v>
      </c>
      <c r="N944" s="32"/>
      <c r="O944" s="32"/>
      <c r="P944" s="32"/>
      <c r="Q944" s="33"/>
      <c r="R944" s="10">
        <f>LEN(M944)</f>
        <v>10</v>
      </c>
      <c r="S944" s="10">
        <f>MOD(R944,2)*4+FLOOR(R944/2,1)*6</f>
        <v>30</v>
      </c>
      <c r="T944" s="12" t="str">
        <f>IF(T943&lt;I942,"有效","无效")</f>
        <v>有效</v>
      </c>
    </row>
    <row r="945" spans="1:20" ht="20" customHeight="1">
      <c r="A945" s="22"/>
      <c r="B945" s="6" t="str">
        <f>IF(H945&lt;=12,"有效","无效")</f>
        <v>有效</v>
      </c>
      <c r="C945" s="34" t="s">
        <v>2205</v>
      </c>
      <c r="D945" s="35"/>
      <c r="E945" s="35"/>
      <c r="F945" s="35"/>
      <c r="G945" s="36"/>
      <c r="H945" s="4">
        <f>LEN(C945)</f>
        <v>3</v>
      </c>
      <c r="I945" s="11">
        <f>MOD(H945,2)*4+FLOOR(H945/2,1)*6</f>
        <v>10</v>
      </c>
      <c r="J945" s="12">
        <f>I945+I946</f>
        <v>32</v>
      </c>
      <c r="K945" s="20"/>
      <c r="L945" s="6" t="str">
        <f>IF(R945&lt;=12,"有效","无效")</f>
        <v>有效</v>
      </c>
      <c r="M945" s="31" t="s">
        <v>1643</v>
      </c>
      <c r="N945" s="32"/>
      <c r="O945" s="32"/>
      <c r="P945" s="32"/>
      <c r="Q945" s="33"/>
      <c r="R945" s="10">
        <f>LEN(M945)</f>
        <v>5</v>
      </c>
      <c r="S945" s="10">
        <f>MOD(R945,2)*4+FLOOR(R945/2,1)*6</f>
        <v>16</v>
      </c>
      <c r="T945" s="12">
        <f>S945+S946</f>
        <v>40</v>
      </c>
    </row>
    <row r="946" spans="1:20" ht="20" customHeight="1">
      <c r="A946" s="22"/>
      <c r="B946" s="6" t="str">
        <f>IF(H946&lt;=12,"有效","无效")</f>
        <v>有效</v>
      </c>
      <c r="C946" s="34" t="s">
        <v>2204</v>
      </c>
      <c r="D946" s="35"/>
      <c r="E946" s="35"/>
      <c r="F946" s="35"/>
      <c r="G946" s="36"/>
      <c r="H946" s="4">
        <f>LEN(C946)</f>
        <v>7</v>
      </c>
      <c r="I946" s="11">
        <f>MOD(H946,2)*4+FLOOR(H946/2,1)*6</f>
        <v>22</v>
      </c>
      <c r="J946" s="12" t="str">
        <f>IF(J945&lt;I942,"有效","无效")</f>
        <v>有效</v>
      </c>
      <c r="K946" s="20"/>
      <c r="L946" s="6" t="str">
        <f>IF(R946&lt;=12,"有效","无效")</f>
        <v>有效</v>
      </c>
      <c r="M946" s="31" t="s">
        <v>1642</v>
      </c>
      <c r="N946" s="32"/>
      <c r="O946" s="32"/>
      <c r="P946" s="32"/>
      <c r="Q946" s="33"/>
      <c r="R946" s="10">
        <f>LEN(M946)</f>
        <v>8</v>
      </c>
      <c r="S946" s="10">
        <f>MOD(R946,2)*4+FLOOR(R946/2,1)*6</f>
        <v>24</v>
      </c>
      <c r="T946" s="12" t="str">
        <f>IF(T945&lt;I942,"有效","无效")</f>
        <v>有效</v>
      </c>
    </row>
    <row r="947" spans="1:20" ht="20" customHeight="1">
      <c r="A947" s="22">
        <v>190</v>
      </c>
      <c r="B947" s="23" t="s">
        <v>307</v>
      </c>
      <c r="C947" s="24" t="s">
        <v>308</v>
      </c>
      <c r="D947" s="14">
        <f>LEN($B947)</f>
        <v>4</v>
      </c>
      <c r="E947" s="14">
        <f>LEN(C947)+3</f>
        <v>5</v>
      </c>
      <c r="F947" s="14">
        <f>MOD(D947,2)*4+FLOOR(D947/2,1)*6</f>
        <v>12</v>
      </c>
      <c r="G947" s="14">
        <f>MOD(E947,2)*4+FLOOR(E947/2,1)*6</f>
        <v>16</v>
      </c>
      <c r="H947" s="14">
        <v>12</v>
      </c>
      <c r="I947" s="14">
        <f>108-H947-G947-F947</f>
        <v>68</v>
      </c>
    </row>
    <row r="948" spans="1:20" ht="20" customHeight="1">
      <c r="A948" s="22"/>
      <c r="B948" s="6" t="str">
        <f>IF(H948&lt;=12,"有效","无效")</f>
        <v>有效</v>
      </c>
      <c r="C948" s="31" t="s">
        <v>1644</v>
      </c>
      <c r="D948" s="32"/>
      <c r="E948" s="32"/>
      <c r="F948" s="32"/>
      <c r="G948" s="33"/>
      <c r="H948" s="4">
        <f>LEN(C948)</f>
        <v>3</v>
      </c>
      <c r="I948" s="11">
        <f>MOD(H948,2)*4+FLOOR(H948/2,1)*6</f>
        <v>10</v>
      </c>
      <c r="J948" s="12">
        <f>I948+I949</f>
        <v>26</v>
      </c>
      <c r="K948" s="20"/>
      <c r="L948" s="13" t="str">
        <f>IF(R948&lt;=12,"有效","无效")</f>
        <v>有效</v>
      </c>
      <c r="M948" s="32" t="s">
        <v>1648</v>
      </c>
      <c r="N948" s="32"/>
      <c r="O948" s="32"/>
      <c r="P948" s="32"/>
      <c r="Q948" s="33"/>
      <c r="R948" s="10">
        <f>LEN(M948)</f>
        <v>9</v>
      </c>
      <c r="S948" s="10">
        <f>MOD(R948,2)*4+FLOOR(R948/2,1)*6</f>
        <v>28</v>
      </c>
      <c r="T948" s="12">
        <f>S948+S949</f>
        <v>58</v>
      </c>
    </row>
    <row r="949" spans="1:20" ht="20" customHeight="1">
      <c r="A949" s="22"/>
      <c r="B949" s="6" t="str">
        <f>IF(H949&lt;=12,"有效","无效")</f>
        <v>有效</v>
      </c>
      <c r="C949" s="31" t="s">
        <v>1645</v>
      </c>
      <c r="D949" s="32"/>
      <c r="E949" s="32"/>
      <c r="F949" s="32"/>
      <c r="G949" s="33"/>
      <c r="H949" s="4">
        <f>LEN(C949)</f>
        <v>5</v>
      </c>
      <c r="I949" s="11">
        <f>MOD(H949,2)*4+FLOOR(H949/2,1)*6</f>
        <v>16</v>
      </c>
      <c r="J949" s="12" t="str">
        <f>IF(J948&lt;I947,"有效","无效")</f>
        <v>有效</v>
      </c>
      <c r="K949" s="20"/>
      <c r="L949" s="6" t="str">
        <f>IF(R949&lt;=12,"有效","无效")</f>
        <v>有效</v>
      </c>
      <c r="M949" s="31" t="s">
        <v>1649</v>
      </c>
      <c r="N949" s="32"/>
      <c r="O949" s="32"/>
      <c r="P949" s="32"/>
      <c r="Q949" s="33"/>
      <c r="R949" s="10">
        <f>LEN(M949)</f>
        <v>10</v>
      </c>
      <c r="S949" s="10">
        <f>MOD(R949,2)*4+FLOOR(R949/2,1)*6</f>
        <v>30</v>
      </c>
      <c r="T949" s="12" t="str">
        <f>IF(T948&lt;I947,"有效","无效")</f>
        <v>有效</v>
      </c>
    </row>
    <row r="950" spans="1:20" ht="20" customHeight="1">
      <c r="A950" s="22"/>
      <c r="B950" s="6" t="str">
        <f>IF(H950&lt;=12,"有效","无效")</f>
        <v>有效</v>
      </c>
      <c r="C950" s="31" t="s">
        <v>1646</v>
      </c>
      <c r="D950" s="32"/>
      <c r="E950" s="32"/>
      <c r="F950" s="32"/>
      <c r="G950" s="33"/>
      <c r="H950" s="4">
        <f>LEN(C950)</f>
        <v>6</v>
      </c>
      <c r="I950" s="11">
        <f>MOD(H950,2)*4+FLOOR(H950/2,1)*6</f>
        <v>18</v>
      </c>
      <c r="J950" s="12">
        <f>I950+I951</f>
        <v>36</v>
      </c>
      <c r="K950" s="20"/>
      <c r="L950" s="6" t="str">
        <f>IF(R950&lt;=12,"有效","无效")</f>
        <v>有效</v>
      </c>
      <c r="M950" s="31" t="s">
        <v>1650</v>
      </c>
      <c r="N950" s="32"/>
      <c r="O950" s="32"/>
      <c r="P950" s="32"/>
      <c r="Q950" s="33"/>
      <c r="R950" s="10">
        <f>LEN(M950)</f>
        <v>4</v>
      </c>
      <c r="S950" s="10">
        <f>MOD(R950,2)*4+FLOOR(R950/2,1)*6</f>
        <v>12</v>
      </c>
      <c r="T950" s="12">
        <f>S950+S951</f>
        <v>36</v>
      </c>
    </row>
    <row r="951" spans="1:20" ht="20" customHeight="1">
      <c r="A951" s="22"/>
      <c r="B951" s="6" t="str">
        <f>IF(H951&lt;=12,"有效","无效")</f>
        <v>有效</v>
      </c>
      <c r="C951" s="31" t="s">
        <v>1647</v>
      </c>
      <c r="D951" s="32"/>
      <c r="E951" s="32"/>
      <c r="F951" s="32"/>
      <c r="G951" s="33"/>
      <c r="H951" s="4">
        <f>LEN(C951)</f>
        <v>6</v>
      </c>
      <c r="I951" s="11">
        <f>MOD(H951,2)*4+FLOOR(H951/2,1)*6</f>
        <v>18</v>
      </c>
      <c r="J951" s="12" t="str">
        <f>IF(J950&lt;I947,"有效","无效")</f>
        <v>有效</v>
      </c>
      <c r="K951" s="20"/>
      <c r="L951" s="6" t="str">
        <f>IF(R951&lt;=12,"有效","无效")</f>
        <v>有效</v>
      </c>
      <c r="M951" s="31" t="s">
        <v>1651</v>
      </c>
      <c r="N951" s="32"/>
      <c r="O951" s="32"/>
      <c r="P951" s="32"/>
      <c r="Q951" s="33"/>
      <c r="R951" s="10">
        <f>LEN(M951)</f>
        <v>8</v>
      </c>
      <c r="S951" s="10">
        <f>MOD(R951,2)*4+FLOOR(R951/2,1)*6</f>
        <v>24</v>
      </c>
      <c r="T951" s="12" t="str">
        <f>IF(T950&lt;I947,"有效","无效")</f>
        <v>有效</v>
      </c>
    </row>
    <row r="952" spans="1:20" ht="20" customHeight="1">
      <c r="A952" s="22">
        <v>191</v>
      </c>
      <c r="B952" s="23" t="s">
        <v>309</v>
      </c>
      <c r="C952" s="24" t="s">
        <v>3</v>
      </c>
      <c r="D952" s="14">
        <f>LEN($B952)</f>
        <v>4</v>
      </c>
      <c r="E952" s="14">
        <f>LEN(C952)+3</f>
        <v>5</v>
      </c>
      <c r="F952" s="14">
        <f>MOD(D952,2)*4+FLOOR(D952/2,1)*6</f>
        <v>12</v>
      </c>
      <c r="G952" s="14">
        <f>MOD(E952,2)*4+FLOOR(E952/2,1)*6</f>
        <v>16</v>
      </c>
      <c r="H952" s="14">
        <v>12</v>
      </c>
      <c r="I952" s="14">
        <f>108-H952-G952-F952</f>
        <v>68</v>
      </c>
    </row>
    <row r="953" spans="1:20" ht="20" customHeight="1">
      <c r="A953" s="22"/>
      <c r="B953" s="6" t="str">
        <f>IF(H953&lt;=12,"有效","无效")</f>
        <v>有效</v>
      </c>
      <c r="C953" s="31" t="s">
        <v>1652</v>
      </c>
      <c r="D953" s="32"/>
      <c r="E953" s="32"/>
      <c r="F953" s="32"/>
      <c r="G953" s="33"/>
      <c r="H953" s="4">
        <f>LEN(C953)</f>
        <v>6</v>
      </c>
      <c r="I953" s="11">
        <f>MOD(H953,2)*4+FLOOR(H953/2,1)*6</f>
        <v>18</v>
      </c>
      <c r="J953" s="12">
        <f>I953+I954</f>
        <v>46</v>
      </c>
      <c r="K953" s="20"/>
      <c r="L953" s="13" t="str">
        <f>IF(R953&lt;=12,"有效","无效")</f>
        <v>有效</v>
      </c>
      <c r="M953" s="32" t="s">
        <v>1656</v>
      </c>
      <c r="N953" s="32"/>
      <c r="O953" s="32"/>
      <c r="P953" s="32"/>
      <c r="Q953" s="33"/>
      <c r="R953" s="10">
        <f>LEN(M953)</f>
        <v>8</v>
      </c>
      <c r="S953" s="10">
        <f>MOD(R953,2)*4+FLOOR(R953/2,1)*6</f>
        <v>24</v>
      </c>
      <c r="T953" s="12">
        <f>S953+S954</f>
        <v>48</v>
      </c>
    </row>
    <row r="954" spans="1:20" ht="20" customHeight="1">
      <c r="A954" s="22"/>
      <c r="B954" s="6" t="str">
        <f>IF(H954&lt;=12,"有效","无效")</f>
        <v>有效</v>
      </c>
      <c r="C954" s="31" t="s">
        <v>1653</v>
      </c>
      <c r="D954" s="32"/>
      <c r="E954" s="32"/>
      <c r="F954" s="32"/>
      <c r="G954" s="33"/>
      <c r="H954" s="4">
        <f>LEN(C954)</f>
        <v>9</v>
      </c>
      <c r="I954" s="11">
        <f>MOD(H954,2)*4+FLOOR(H954/2,1)*6</f>
        <v>28</v>
      </c>
      <c r="J954" s="12" t="str">
        <f>IF(J953&lt;I952,"有效","无效")</f>
        <v>有效</v>
      </c>
      <c r="K954" s="20"/>
      <c r="L954" s="6" t="str">
        <f>IF(R954&lt;=12,"有效","无效")</f>
        <v>有效</v>
      </c>
      <c r="M954" s="31" t="s">
        <v>1657</v>
      </c>
      <c r="N954" s="32"/>
      <c r="O954" s="32"/>
      <c r="P954" s="32"/>
      <c r="Q954" s="33"/>
      <c r="R954" s="10">
        <f>LEN(M954)</f>
        <v>8</v>
      </c>
      <c r="S954" s="10">
        <f>MOD(R954,2)*4+FLOOR(R954/2,1)*6</f>
        <v>24</v>
      </c>
      <c r="T954" s="12" t="str">
        <f>IF(T953&lt;I952,"有效","无效")</f>
        <v>有效</v>
      </c>
    </row>
    <row r="955" spans="1:20" ht="20" customHeight="1">
      <c r="A955" s="22"/>
      <c r="B955" s="6" t="str">
        <f>IF(H955&lt;=12,"有效","无效")</f>
        <v>有效</v>
      </c>
      <c r="C955" s="31" t="s">
        <v>1655</v>
      </c>
      <c r="D955" s="32"/>
      <c r="E955" s="32"/>
      <c r="F955" s="32"/>
      <c r="G955" s="33"/>
      <c r="H955" s="4">
        <f>LEN(C955)</f>
        <v>11</v>
      </c>
      <c r="I955" s="11">
        <f>MOD(H955,2)*4+FLOOR(H955/2,1)*6</f>
        <v>34</v>
      </c>
      <c r="J955" s="12">
        <f>I955+I956</f>
        <v>62</v>
      </c>
      <c r="K955" s="20"/>
      <c r="L955" s="6" t="str">
        <f>IF(R955&lt;=12,"有效","无效")</f>
        <v>有效</v>
      </c>
      <c r="M955" s="31" t="s">
        <v>1658</v>
      </c>
      <c r="N955" s="32"/>
      <c r="O955" s="32"/>
      <c r="P955" s="32"/>
      <c r="Q955" s="33"/>
      <c r="R955" s="10">
        <f>LEN(M955)</f>
        <v>6</v>
      </c>
      <c r="S955" s="10">
        <f>MOD(R955,2)*4+FLOOR(R955/2,1)*6</f>
        <v>18</v>
      </c>
      <c r="T955" s="12">
        <f>S955+S956</f>
        <v>36</v>
      </c>
    </row>
    <row r="956" spans="1:20" ht="20" customHeight="1">
      <c r="A956" s="22"/>
      <c r="B956" s="6" t="str">
        <f>IF(H956&lt;=12,"有效","无效")</f>
        <v>有效</v>
      </c>
      <c r="C956" s="31" t="s">
        <v>1654</v>
      </c>
      <c r="D956" s="32"/>
      <c r="E956" s="32"/>
      <c r="F956" s="32"/>
      <c r="G956" s="33"/>
      <c r="H956" s="4">
        <f>LEN(C956)</f>
        <v>9</v>
      </c>
      <c r="I956" s="11">
        <f>MOD(H956,2)*4+FLOOR(H956/2,1)*6</f>
        <v>28</v>
      </c>
      <c r="J956" s="12" t="str">
        <f>IF(J955&lt;I952,"有效","无效")</f>
        <v>有效</v>
      </c>
      <c r="K956" s="20"/>
      <c r="L956" s="6" t="str">
        <f>IF(R956&lt;=12,"有效","无效")</f>
        <v>有效</v>
      </c>
      <c r="M956" s="31" t="s">
        <v>1659</v>
      </c>
      <c r="N956" s="32"/>
      <c r="O956" s="32"/>
      <c r="P956" s="32"/>
      <c r="Q956" s="33"/>
      <c r="R956" s="10">
        <f>LEN(M956)</f>
        <v>6</v>
      </c>
      <c r="S956" s="10">
        <f>MOD(R956,2)*4+FLOOR(R956/2,1)*6</f>
        <v>18</v>
      </c>
      <c r="T956" s="12" t="str">
        <f>IF(T955&lt;I952,"有效","无效")</f>
        <v>有效</v>
      </c>
    </row>
    <row r="957" spans="1:20" ht="20" customHeight="1">
      <c r="A957" s="22">
        <v>192</v>
      </c>
      <c r="B957" s="23" t="s">
        <v>310</v>
      </c>
      <c r="C957" s="24" t="s">
        <v>311</v>
      </c>
      <c r="D957" s="14">
        <f>LEN($B957)</f>
        <v>4</v>
      </c>
      <c r="E957" s="14">
        <f>LEN(C957)+3</f>
        <v>5</v>
      </c>
      <c r="F957" s="14">
        <f>MOD(D957,2)*4+FLOOR(D957/2,1)*6</f>
        <v>12</v>
      </c>
      <c r="G957" s="14">
        <f>MOD(E957,2)*4+FLOOR(E957/2,1)*6</f>
        <v>16</v>
      </c>
      <c r="H957" s="14">
        <v>12</v>
      </c>
      <c r="I957" s="14">
        <f>108-H957-G957-F957</f>
        <v>68</v>
      </c>
    </row>
    <row r="958" spans="1:20" ht="20" customHeight="1">
      <c r="A958" s="22"/>
      <c r="B958" s="6" t="str">
        <f>IF(H958&lt;=12,"有效","无效")</f>
        <v>有效</v>
      </c>
      <c r="C958" s="34" t="s">
        <v>1660</v>
      </c>
      <c r="D958" s="35"/>
      <c r="E958" s="35"/>
      <c r="F958" s="35"/>
      <c r="G958" s="36"/>
      <c r="H958" s="4">
        <f>LEN(C958)</f>
        <v>9</v>
      </c>
      <c r="I958" s="11">
        <f>MOD(H958,2)*4+FLOOR(H958/2,1)*6</f>
        <v>28</v>
      </c>
      <c r="J958" s="12">
        <f>I958+I959</f>
        <v>62</v>
      </c>
      <c r="K958" s="20"/>
      <c r="L958" s="13" t="str">
        <f>IF(R958&lt;=12,"有效","无效")</f>
        <v>有效</v>
      </c>
      <c r="M958" s="32" t="s">
        <v>1663</v>
      </c>
      <c r="N958" s="32"/>
      <c r="O958" s="32"/>
      <c r="P958" s="32"/>
      <c r="Q958" s="33"/>
      <c r="R958" s="10">
        <f>LEN(M958)</f>
        <v>9</v>
      </c>
      <c r="S958" s="10">
        <f>MOD(R958,2)*4+FLOOR(R958/2,1)*6</f>
        <v>28</v>
      </c>
      <c r="T958" s="12">
        <f>S958+S959</f>
        <v>58</v>
      </c>
    </row>
    <row r="959" spans="1:20" ht="20" customHeight="1">
      <c r="A959" s="22"/>
      <c r="B959" s="6" t="str">
        <f>IF(H959&lt;=12,"有效","无效")</f>
        <v>有效</v>
      </c>
      <c r="C959" s="34" t="s">
        <v>1664</v>
      </c>
      <c r="D959" s="35"/>
      <c r="E959" s="35"/>
      <c r="F959" s="35"/>
      <c r="G959" s="36"/>
      <c r="H959" s="4">
        <f>LEN(C959)</f>
        <v>11</v>
      </c>
      <c r="I959" s="11">
        <f>MOD(H959,2)*4+FLOOR(H959/2,1)*6</f>
        <v>34</v>
      </c>
      <c r="J959" s="12" t="str">
        <f>IF(J958&lt;I957,"有效","无效")</f>
        <v>有效</v>
      </c>
      <c r="K959" s="20"/>
      <c r="L959" s="6" t="str">
        <f>IF(R959&lt;=12,"有效","无效")</f>
        <v>有效</v>
      </c>
      <c r="M959" s="31" t="s">
        <v>1665</v>
      </c>
      <c r="N959" s="32"/>
      <c r="O959" s="32"/>
      <c r="P959" s="32"/>
      <c r="Q959" s="33"/>
      <c r="R959" s="10">
        <f>LEN(M959)</f>
        <v>10</v>
      </c>
      <c r="S959" s="10">
        <f>MOD(R959,2)*4+FLOOR(R959/2,1)*6</f>
        <v>30</v>
      </c>
      <c r="T959" s="12" t="str">
        <f>IF(T958&lt;I957,"有效","无效")</f>
        <v>有效</v>
      </c>
    </row>
    <row r="960" spans="1:20" ht="20" customHeight="1">
      <c r="A960" s="22"/>
      <c r="B960" s="6" t="str">
        <f>IF(H960&lt;=12,"有效","无效")</f>
        <v>有效</v>
      </c>
      <c r="C960" s="34" t="s">
        <v>1661</v>
      </c>
      <c r="D960" s="35"/>
      <c r="E960" s="35"/>
      <c r="F960" s="35"/>
      <c r="G960" s="36"/>
      <c r="H960" s="4">
        <f>LEN(C960)</f>
        <v>7</v>
      </c>
      <c r="I960" s="11">
        <f>MOD(H960,2)*4+FLOOR(H960/2,1)*6</f>
        <v>22</v>
      </c>
      <c r="J960" s="12">
        <f>I960+I961</f>
        <v>40</v>
      </c>
      <c r="K960" s="20"/>
      <c r="L960" s="6" t="str">
        <f>IF(R960&lt;=12,"有效","无效")</f>
        <v>有效</v>
      </c>
      <c r="M960" s="31" t="s">
        <v>1666</v>
      </c>
      <c r="N960" s="32"/>
      <c r="O960" s="32"/>
      <c r="P960" s="32"/>
      <c r="Q960" s="33"/>
      <c r="R960" s="10">
        <f>LEN(M960)</f>
        <v>6</v>
      </c>
      <c r="S960" s="10">
        <f>MOD(R960,2)*4+FLOOR(R960/2,1)*6</f>
        <v>18</v>
      </c>
      <c r="T960" s="12">
        <f>S960+S961</f>
        <v>36</v>
      </c>
    </row>
    <row r="961" spans="1:20" ht="20" customHeight="1">
      <c r="A961" s="22"/>
      <c r="B961" s="6" t="str">
        <f>IF(H961&lt;=12,"有效","无效")</f>
        <v>有效</v>
      </c>
      <c r="C961" s="34" t="s">
        <v>1662</v>
      </c>
      <c r="D961" s="35"/>
      <c r="E961" s="35"/>
      <c r="F961" s="35"/>
      <c r="G961" s="36"/>
      <c r="H961" s="4">
        <f>LEN(C961)</f>
        <v>6</v>
      </c>
      <c r="I961" s="11">
        <f>MOD(H961,2)*4+FLOOR(H961/2,1)*6</f>
        <v>18</v>
      </c>
      <c r="J961" s="12" t="str">
        <f>IF(J960&lt;I957,"有效","无效")</f>
        <v>有效</v>
      </c>
      <c r="K961" s="20"/>
      <c r="L961" s="6" t="str">
        <f>IF(R961&lt;=12,"有效","无效")</f>
        <v>有效</v>
      </c>
      <c r="M961" s="31" t="s">
        <v>1667</v>
      </c>
      <c r="N961" s="32"/>
      <c r="O961" s="32"/>
      <c r="P961" s="32"/>
      <c r="Q961" s="33"/>
      <c r="R961" s="10">
        <f>LEN(M961)</f>
        <v>6</v>
      </c>
      <c r="S961" s="10">
        <f>MOD(R961,2)*4+FLOOR(R961/2,1)*6</f>
        <v>18</v>
      </c>
      <c r="T961" s="12" t="str">
        <f>IF(T960&lt;I957,"有效","无效")</f>
        <v>有效</v>
      </c>
    </row>
    <row r="962" spans="1:20" ht="20" customHeight="1">
      <c r="A962" s="22">
        <v>193</v>
      </c>
      <c r="B962" s="23" t="s">
        <v>312</v>
      </c>
      <c r="C962" s="24" t="s">
        <v>313</v>
      </c>
      <c r="D962" s="14">
        <f>LEN($B962)</f>
        <v>3</v>
      </c>
      <c r="E962" s="14">
        <f>LEN(C962)+3</f>
        <v>5</v>
      </c>
      <c r="F962" s="14">
        <f>MOD(D962,2)*4+FLOOR(D962/2,1)*6</f>
        <v>10</v>
      </c>
      <c r="G962" s="14">
        <f>MOD(E962,2)*4+FLOOR(E962/2,1)*6</f>
        <v>16</v>
      </c>
      <c r="H962" s="14">
        <v>12</v>
      </c>
      <c r="I962" s="14">
        <f>108-H962-G962-F962</f>
        <v>70</v>
      </c>
    </row>
    <row r="963" spans="1:20" ht="20" customHeight="1">
      <c r="A963" s="22"/>
      <c r="B963" s="6" t="str">
        <f>IF(H963&lt;=12,"有效","无效")</f>
        <v>有效</v>
      </c>
      <c r="C963" s="31" t="s">
        <v>1668</v>
      </c>
      <c r="D963" s="32"/>
      <c r="E963" s="32"/>
      <c r="F963" s="32"/>
      <c r="G963" s="33"/>
      <c r="H963" s="4">
        <f>LEN(C963)</f>
        <v>9</v>
      </c>
      <c r="I963" s="11">
        <f>MOD(H963,2)*4+FLOOR(H963/2,1)*6</f>
        <v>28</v>
      </c>
      <c r="J963" s="12">
        <f>I963+I964</f>
        <v>50</v>
      </c>
      <c r="K963" s="20"/>
      <c r="L963" s="13" t="str">
        <f>IF(R963&lt;=12,"有效","无效")</f>
        <v>有效</v>
      </c>
      <c r="M963" s="35" t="s">
        <v>1672</v>
      </c>
      <c r="N963" s="35"/>
      <c r="O963" s="35"/>
      <c r="P963" s="35"/>
      <c r="Q963" s="36"/>
      <c r="R963" s="10">
        <f>LEN(M963)</f>
        <v>7</v>
      </c>
      <c r="S963" s="10">
        <f>MOD(R963,2)*4+FLOOR(R963/2,1)*6</f>
        <v>22</v>
      </c>
      <c r="T963" s="12">
        <f>S963+S964</f>
        <v>50</v>
      </c>
    </row>
    <row r="964" spans="1:20" ht="20" customHeight="1">
      <c r="A964" s="22"/>
      <c r="B964" s="6" t="str">
        <f>IF(H964&lt;=12,"有效","无效")</f>
        <v>有效</v>
      </c>
      <c r="C964" s="31" t="s">
        <v>1669</v>
      </c>
      <c r="D964" s="32"/>
      <c r="E964" s="32"/>
      <c r="F964" s="32"/>
      <c r="G964" s="33"/>
      <c r="H964" s="4">
        <f>LEN(C964)</f>
        <v>7</v>
      </c>
      <c r="I964" s="11">
        <f>MOD(H964,2)*4+FLOOR(H964/2,1)*6</f>
        <v>22</v>
      </c>
      <c r="J964" s="12" t="str">
        <f>IF(J963&lt;I962,"有效","无效")</f>
        <v>有效</v>
      </c>
      <c r="K964" s="20"/>
      <c r="L964" s="6" t="str">
        <f>IF(R964&lt;=12,"有效","无效")</f>
        <v>有效</v>
      </c>
      <c r="M964" s="34" t="s">
        <v>1673</v>
      </c>
      <c r="N964" s="35"/>
      <c r="O964" s="35"/>
      <c r="P964" s="35"/>
      <c r="Q964" s="36"/>
      <c r="R964" s="10">
        <f>LEN(M964)</f>
        <v>9</v>
      </c>
      <c r="S964" s="10">
        <f>MOD(R964,2)*4+FLOOR(R964/2,1)*6</f>
        <v>28</v>
      </c>
      <c r="T964" s="12" t="str">
        <f>IF(T963&lt;I962,"有效","无效")</f>
        <v>有效</v>
      </c>
    </row>
    <row r="965" spans="1:20" ht="20" customHeight="1">
      <c r="A965" s="22"/>
      <c r="B965" s="6" t="str">
        <f>IF(H965&lt;=12,"有效","无效")</f>
        <v>有效</v>
      </c>
      <c r="C965" s="31" t="s">
        <v>1670</v>
      </c>
      <c r="D965" s="32"/>
      <c r="E965" s="32"/>
      <c r="F965" s="32"/>
      <c r="G965" s="33"/>
      <c r="H965" s="4">
        <f>LEN(C965)</f>
        <v>4</v>
      </c>
      <c r="I965" s="11">
        <f>MOD(H965,2)*4+FLOOR(H965/2,1)*6</f>
        <v>12</v>
      </c>
      <c r="J965" s="12">
        <f>I965+I966</f>
        <v>34</v>
      </c>
      <c r="K965" s="20"/>
      <c r="L965" s="6" t="str">
        <f>IF(R965&lt;=12,"有效","无效")</f>
        <v>有效</v>
      </c>
      <c r="M965" s="34" t="s">
        <v>1674</v>
      </c>
      <c r="N965" s="35"/>
      <c r="O965" s="35"/>
      <c r="P965" s="35"/>
      <c r="Q965" s="36"/>
      <c r="R965" s="10">
        <f>LEN(M965)</f>
        <v>3</v>
      </c>
      <c r="S965" s="10">
        <f>MOD(R965,2)*4+FLOOR(R965/2,1)*6</f>
        <v>10</v>
      </c>
      <c r="T965" s="12">
        <f>S965+S966</f>
        <v>34</v>
      </c>
    </row>
    <row r="966" spans="1:20" ht="20" customHeight="1">
      <c r="A966" s="22"/>
      <c r="B966" s="6" t="str">
        <f>IF(H966&lt;=12,"有效","无效")</f>
        <v>有效</v>
      </c>
      <c r="C966" s="31" t="s">
        <v>1671</v>
      </c>
      <c r="D966" s="32"/>
      <c r="E966" s="32"/>
      <c r="F966" s="32"/>
      <c r="G966" s="33"/>
      <c r="H966" s="4">
        <f>LEN(C966)</f>
        <v>7</v>
      </c>
      <c r="I966" s="11">
        <f>MOD(H966,2)*4+FLOOR(H966/2,1)*6</f>
        <v>22</v>
      </c>
      <c r="J966" s="12" t="str">
        <f>IF(J965&lt;I962,"有效","无效")</f>
        <v>有效</v>
      </c>
      <c r="K966" s="20"/>
      <c r="L966" s="6" t="str">
        <f>IF(R966&lt;=12,"有效","无效")</f>
        <v>有效</v>
      </c>
      <c r="M966" s="34" t="s">
        <v>1675</v>
      </c>
      <c r="N966" s="35"/>
      <c r="O966" s="35"/>
      <c r="P966" s="35"/>
      <c r="Q966" s="36"/>
      <c r="R966" s="10">
        <f>LEN(M966)</f>
        <v>8</v>
      </c>
      <c r="S966" s="10">
        <f>MOD(R966,2)*4+FLOOR(R966/2,1)*6</f>
        <v>24</v>
      </c>
      <c r="T966" s="12" t="str">
        <f>IF(T965&lt;I962,"有效","无效")</f>
        <v>有效</v>
      </c>
    </row>
    <row r="967" spans="1:20" ht="20" customHeight="1">
      <c r="A967" s="22">
        <v>194</v>
      </c>
      <c r="B967" s="23" t="s">
        <v>314</v>
      </c>
      <c r="C967" s="24" t="s">
        <v>315</v>
      </c>
      <c r="D967" s="14">
        <f>LEN($B967)</f>
        <v>2</v>
      </c>
      <c r="E967" s="14">
        <f>LEN(C967)+3</f>
        <v>5</v>
      </c>
      <c r="F967" s="14">
        <f>MOD(D967,2)*4+FLOOR(D967/2,1)*6</f>
        <v>6</v>
      </c>
      <c r="G967" s="14">
        <f>MOD(E967,2)*4+FLOOR(E967/2,1)*6</f>
        <v>16</v>
      </c>
      <c r="H967" s="14">
        <v>12</v>
      </c>
      <c r="I967" s="14">
        <f>108-H967-G967-F967</f>
        <v>74</v>
      </c>
    </row>
    <row r="968" spans="1:20" ht="20" customHeight="1">
      <c r="A968" s="22"/>
      <c r="B968" s="6" t="str">
        <f>IF(H968&lt;=12,"有效","无效")</f>
        <v>有效</v>
      </c>
      <c r="C968" s="31" t="s">
        <v>2207</v>
      </c>
      <c r="D968" s="32"/>
      <c r="E968" s="32"/>
      <c r="F968" s="32"/>
      <c r="G968" s="33"/>
      <c r="H968" s="4">
        <f>LEN(C968)</f>
        <v>4</v>
      </c>
      <c r="I968" s="11">
        <f>MOD(H968,2)*4+FLOOR(H968/2,1)*6</f>
        <v>12</v>
      </c>
      <c r="J968" s="12">
        <f>I968+I969</f>
        <v>28</v>
      </c>
      <c r="K968" s="20"/>
      <c r="L968" s="13" t="str">
        <f>IF(R968&lt;=12,"有效","无效")</f>
        <v>有效</v>
      </c>
      <c r="M968" s="32" t="s">
        <v>1677</v>
      </c>
      <c r="N968" s="32"/>
      <c r="O968" s="32"/>
      <c r="P968" s="32"/>
      <c r="Q968" s="33"/>
      <c r="R968" s="10">
        <f>LEN(M968)</f>
        <v>4</v>
      </c>
      <c r="S968" s="10">
        <f>MOD(R968,2)*4+FLOOR(R968/2,1)*6</f>
        <v>12</v>
      </c>
      <c r="T968" s="12">
        <f>S968+S969</f>
        <v>30</v>
      </c>
    </row>
    <row r="969" spans="1:20" ht="20" customHeight="1">
      <c r="A969" s="22"/>
      <c r="B969" s="6" t="str">
        <f>IF(H969&lt;=12,"有效","无效")</f>
        <v>有效</v>
      </c>
      <c r="C969" s="31" t="s">
        <v>2208</v>
      </c>
      <c r="D969" s="32"/>
      <c r="E969" s="32"/>
      <c r="F969" s="32"/>
      <c r="G969" s="33"/>
      <c r="H969" s="4">
        <f>LEN(C969)</f>
        <v>5</v>
      </c>
      <c r="I969" s="11">
        <f>MOD(H969,2)*4+FLOOR(H969/2,1)*6</f>
        <v>16</v>
      </c>
      <c r="J969" s="12" t="str">
        <f>IF(J968&lt;I967,"有效","无效")</f>
        <v>有效</v>
      </c>
      <c r="K969" s="20"/>
      <c r="L969" s="6" t="str">
        <f>IF(R969&lt;=12,"有效","无效")</f>
        <v>有效</v>
      </c>
      <c r="M969" s="31" t="s">
        <v>1678</v>
      </c>
      <c r="N969" s="32"/>
      <c r="O969" s="32"/>
      <c r="P969" s="32"/>
      <c r="Q969" s="33"/>
      <c r="R969" s="10">
        <f>LEN(M969)</f>
        <v>6</v>
      </c>
      <c r="S969" s="10">
        <f>MOD(R969,2)*4+FLOOR(R969/2,1)*6</f>
        <v>18</v>
      </c>
      <c r="T969" s="12" t="str">
        <f>IF(T968&lt;I967,"有效","无效")</f>
        <v>有效</v>
      </c>
    </row>
    <row r="970" spans="1:20" ht="20" customHeight="1">
      <c r="A970" s="22"/>
      <c r="B970" s="6" t="str">
        <f>IF(H970&lt;=12,"有效","无效")</f>
        <v>有效</v>
      </c>
      <c r="C970" s="31" t="s">
        <v>2206</v>
      </c>
      <c r="D970" s="32"/>
      <c r="E970" s="32"/>
      <c r="F970" s="32"/>
      <c r="G970" s="33"/>
      <c r="H970" s="4">
        <f>LEN(C970)</f>
        <v>9</v>
      </c>
      <c r="I970" s="11">
        <f>MOD(H970,2)*4+FLOOR(H970/2,1)*6</f>
        <v>28</v>
      </c>
      <c r="J970" s="12">
        <f>I970+I971</f>
        <v>56</v>
      </c>
      <c r="K970" s="20"/>
      <c r="L970" s="6" t="str">
        <f>IF(R970&lt;=12,"有效","无效")</f>
        <v>有效</v>
      </c>
      <c r="M970" s="31" t="s">
        <v>1679</v>
      </c>
      <c r="N970" s="32"/>
      <c r="O970" s="32"/>
      <c r="P970" s="32"/>
      <c r="Q970" s="33"/>
      <c r="R970" s="10">
        <f>LEN(M970)</f>
        <v>9</v>
      </c>
      <c r="S970" s="10">
        <f>MOD(R970,2)*4+FLOOR(R970/2,1)*6</f>
        <v>28</v>
      </c>
      <c r="T970" s="12">
        <f>S970+S971</f>
        <v>56</v>
      </c>
    </row>
    <row r="971" spans="1:20" ht="20" customHeight="1">
      <c r="A971" s="22"/>
      <c r="B971" s="6" t="str">
        <f>IF(H971&lt;=12,"有效","无效")</f>
        <v>有效</v>
      </c>
      <c r="C971" s="31" t="s">
        <v>1676</v>
      </c>
      <c r="D971" s="32"/>
      <c r="E971" s="32"/>
      <c r="F971" s="32"/>
      <c r="G971" s="33"/>
      <c r="H971" s="4">
        <f>LEN(C971)</f>
        <v>9</v>
      </c>
      <c r="I971" s="11">
        <f>MOD(H971,2)*4+FLOOR(H971/2,1)*6</f>
        <v>28</v>
      </c>
      <c r="J971" s="12" t="str">
        <f>IF(J970&lt;I967,"有效","无效")</f>
        <v>有效</v>
      </c>
      <c r="K971" s="20"/>
      <c r="L971" s="6" t="str">
        <f>IF(R971&lt;=12,"有效","无效")</f>
        <v>有效</v>
      </c>
      <c r="M971" s="31" t="s">
        <v>1680</v>
      </c>
      <c r="N971" s="32"/>
      <c r="O971" s="32"/>
      <c r="P971" s="32"/>
      <c r="Q971" s="33"/>
      <c r="R971" s="10">
        <f>LEN(M971)</f>
        <v>9</v>
      </c>
      <c r="S971" s="10">
        <f>MOD(R971,2)*4+FLOOR(R971/2,1)*6</f>
        <v>28</v>
      </c>
      <c r="T971" s="12" t="str">
        <f>IF(T970&lt;I967,"有效","无效")</f>
        <v>有效</v>
      </c>
    </row>
    <row r="972" spans="1:20" ht="20" customHeight="1">
      <c r="A972" s="22">
        <v>195</v>
      </c>
      <c r="B972" s="23" t="s">
        <v>316</v>
      </c>
      <c r="C972" s="24" t="s">
        <v>315</v>
      </c>
      <c r="D972" s="14">
        <f>LEN($B972)</f>
        <v>2</v>
      </c>
      <c r="E972" s="14">
        <f>LEN(C972)+3</f>
        <v>5</v>
      </c>
      <c r="F972" s="14">
        <f>MOD(D972,2)*4+FLOOR(D972/2,1)*6</f>
        <v>6</v>
      </c>
      <c r="G972" s="14">
        <f>MOD(E972,2)*4+FLOOR(E972/2,1)*6</f>
        <v>16</v>
      </c>
      <c r="H972" s="14">
        <v>12</v>
      </c>
      <c r="I972" s="14">
        <f>108-H972-G972-F972</f>
        <v>74</v>
      </c>
    </row>
    <row r="973" spans="1:20" ht="20" customHeight="1">
      <c r="A973" s="22"/>
      <c r="B973" s="6" t="str">
        <f>IF(H973&lt;=12,"有效","无效")</f>
        <v>有效</v>
      </c>
      <c r="C973" s="31" t="s">
        <v>1681</v>
      </c>
      <c r="D973" s="32"/>
      <c r="E973" s="32"/>
      <c r="F973" s="32"/>
      <c r="G973" s="33"/>
      <c r="H973" s="4">
        <f>LEN(C973)</f>
        <v>7</v>
      </c>
      <c r="I973" s="11">
        <f>MOD(H973,2)*4+FLOOR(H973/2,1)*6</f>
        <v>22</v>
      </c>
      <c r="J973" s="12">
        <f>I973+I974</f>
        <v>46</v>
      </c>
      <c r="K973" s="20"/>
      <c r="L973" s="13" t="str">
        <f>IF(R973&lt;=12,"有效","无效")</f>
        <v>有效</v>
      </c>
      <c r="M973" s="32" t="s">
        <v>1681</v>
      </c>
      <c r="N973" s="32"/>
      <c r="O973" s="32"/>
      <c r="P973" s="32"/>
      <c r="Q973" s="33"/>
      <c r="R973" s="10">
        <f>LEN(M973)</f>
        <v>7</v>
      </c>
      <c r="S973" s="10">
        <f>MOD(R973,2)*4+FLOOR(R973/2,1)*6</f>
        <v>22</v>
      </c>
      <c r="T973" s="12">
        <f>S973+S974</f>
        <v>32</v>
      </c>
    </row>
    <row r="974" spans="1:20" ht="20" customHeight="1">
      <c r="A974" s="22"/>
      <c r="B974" s="6" t="str">
        <f>IF(H974&lt;=12,"有效","无效")</f>
        <v>有效</v>
      </c>
      <c r="C974" s="31" t="s">
        <v>1685</v>
      </c>
      <c r="D974" s="32"/>
      <c r="E974" s="32"/>
      <c r="F974" s="32"/>
      <c r="G974" s="33"/>
      <c r="H974" s="4">
        <f>LEN(C974)</f>
        <v>8</v>
      </c>
      <c r="I974" s="11">
        <f>MOD(H974,2)*4+FLOOR(H974/2,1)*6</f>
        <v>24</v>
      </c>
      <c r="J974" s="12" t="str">
        <f>IF(J973&lt;I972,"有效","无效")</f>
        <v>有效</v>
      </c>
      <c r="K974" s="20"/>
      <c r="L974" s="6" t="str">
        <f>IF(R974&lt;=12,"有效","无效")</f>
        <v>有效</v>
      </c>
      <c r="M974" s="31" t="s">
        <v>1682</v>
      </c>
      <c r="N974" s="32"/>
      <c r="O974" s="32"/>
      <c r="P974" s="32"/>
      <c r="Q974" s="33"/>
      <c r="R974" s="10">
        <f>LEN(M974)</f>
        <v>3</v>
      </c>
      <c r="S974" s="10">
        <f>MOD(R974,2)*4+FLOOR(R974/2,1)*6</f>
        <v>10</v>
      </c>
      <c r="T974" s="12" t="str">
        <f>IF(T973&lt;I972,"有效","无效")</f>
        <v>有效</v>
      </c>
    </row>
    <row r="975" spans="1:20" ht="20" customHeight="1">
      <c r="A975" s="22"/>
      <c r="B975" s="6" t="str">
        <f>IF(H975&lt;=12,"有效","无效")</f>
        <v>有效</v>
      </c>
      <c r="C975" s="31" t="s">
        <v>1686</v>
      </c>
      <c r="D975" s="32"/>
      <c r="E975" s="32"/>
      <c r="F975" s="32"/>
      <c r="G975" s="33"/>
      <c r="H975" s="4">
        <f>LEN(C975)</f>
        <v>3</v>
      </c>
      <c r="I975" s="11">
        <f>MOD(H975,2)*4+FLOOR(H975/2,1)*6</f>
        <v>10</v>
      </c>
      <c r="J975" s="12">
        <f>I975+I976</f>
        <v>26</v>
      </c>
      <c r="K975" s="20"/>
      <c r="L975" s="6" t="str">
        <f>IF(R975&lt;=12,"有效","无效")</f>
        <v>有效</v>
      </c>
      <c r="M975" s="31" t="s">
        <v>1683</v>
      </c>
      <c r="N975" s="32"/>
      <c r="O975" s="32"/>
      <c r="P975" s="32"/>
      <c r="Q975" s="33"/>
      <c r="R975" s="10">
        <f>LEN(M975)</f>
        <v>5</v>
      </c>
      <c r="S975" s="10">
        <f>MOD(R975,2)*4+FLOOR(R975/2,1)*6</f>
        <v>16</v>
      </c>
      <c r="T975" s="12">
        <f>S975+S976</f>
        <v>44</v>
      </c>
    </row>
    <row r="976" spans="1:20" ht="20" customHeight="1">
      <c r="A976" s="22"/>
      <c r="B976" s="6" t="str">
        <f>IF(H976&lt;=12,"有效","无效")</f>
        <v>有效</v>
      </c>
      <c r="C976" s="31" t="s">
        <v>1687</v>
      </c>
      <c r="D976" s="32"/>
      <c r="E976" s="32"/>
      <c r="F976" s="32"/>
      <c r="G976" s="33"/>
      <c r="H976" s="4">
        <f>LEN(C976)</f>
        <v>5</v>
      </c>
      <c r="I976" s="11">
        <f>MOD(H976,2)*4+FLOOR(H976/2,1)*6</f>
        <v>16</v>
      </c>
      <c r="J976" s="12" t="str">
        <f>IF(J975&lt;I972,"有效","无效")</f>
        <v>有效</v>
      </c>
      <c r="K976" s="20"/>
      <c r="L976" s="6" t="str">
        <f>IF(R976&lt;=12,"有效","无效")</f>
        <v>有效</v>
      </c>
      <c r="M976" s="31" t="s">
        <v>1684</v>
      </c>
      <c r="N976" s="32"/>
      <c r="O976" s="32"/>
      <c r="P976" s="32"/>
      <c r="Q976" s="33"/>
      <c r="R976" s="10">
        <f>LEN(M976)</f>
        <v>9</v>
      </c>
      <c r="S976" s="10">
        <f>MOD(R976,2)*4+FLOOR(R976/2,1)*6</f>
        <v>28</v>
      </c>
      <c r="T976" s="12" t="str">
        <f>IF(T975&lt;I972,"有效","无效")</f>
        <v>有效</v>
      </c>
    </row>
    <row r="977" spans="1:20" ht="20" customHeight="1">
      <c r="A977" s="22">
        <v>196</v>
      </c>
      <c r="B977" s="23" t="s">
        <v>317</v>
      </c>
      <c r="C977" s="24" t="s">
        <v>311</v>
      </c>
      <c r="D977" s="14">
        <f>LEN($B977)</f>
        <v>4</v>
      </c>
      <c r="E977" s="14">
        <f>LEN(C977)+3</f>
        <v>5</v>
      </c>
      <c r="F977" s="14">
        <f>MOD(D977,2)*4+FLOOR(D977/2,1)*6</f>
        <v>12</v>
      </c>
      <c r="G977" s="14">
        <f>MOD(E977,2)*4+FLOOR(E977/2,1)*6</f>
        <v>16</v>
      </c>
      <c r="H977" s="14">
        <v>12</v>
      </c>
      <c r="I977" s="14">
        <f>108-H977-G977-F977</f>
        <v>68</v>
      </c>
    </row>
    <row r="978" spans="1:20" ht="20" customHeight="1">
      <c r="A978" s="22"/>
      <c r="B978" s="6" t="str">
        <f>IF(H978&lt;=12,"有效","无效")</f>
        <v>有效</v>
      </c>
      <c r="C978" s="31" t="s">
        <v>1688</v>
      </c>
      <c r="D978" s="32"/>
      <c r="E978" s="32"/>
      <c r="F978" s="32"/>
      <c r="G978" s="33"/>
      <c r="H978" s="4">
        <f>LEN(C978)</f>
        <v>9</v>
      </c>
      <c r="I978" s="11">
        <f>MOD(H978,2)*4+FLOOR(H978/2,1)*6</f>
        <v>28</v>
      </c>
      <c r="J978" s="12">
        <f>I978+I979</f>
        <v>56</v>
      </c>
      <c r="K978" s="20"/>
      <c r="L978" s="13" t="str">
        <f>IF(R978&lt;=12,"有效","无效")</f>
        <v>有效</v>
      </c>
      <c r="M978" s="32" t="s">
        <v>2355</v>
      </c>
      <c r="N978" s="32"/>
      <c r="O978" s="32"/>
      <c r="P978" s="32"/>
      <c r="Q978" s="33"/>
      <c r="R978" s="10">
        <f>LEN(M978)</f>
        <v>5</v>
      </c>
      <c r="S978" s="10">
        <f>MOD(R978,2)*4+FLOOR(R978/2,1)*6</f>
        <v>16</v>
      </c>
      <c r="T978" s="12">
        <f>S978+S979</f>
        <v>34</v>
      </c>
    </row>
    <row r="979" spans="1:20" ht="20" customHeight="1">
      <c r="A979" s="22"/>
      <c r="B979" s="6" t="str">
        <f>IF(H979&lt;=12,"有效","无效")</f>
        <v>有效</v>
      </c>
      <c r="C979" s="31" t="s">
        <v>1689</v>
      </c>
      <c r="D979" s="32"/>
      <c r="E979" s="32"/>
      <c r="F979" s="32"/>
      <c r="G979" s="33"/>
      <c r="H979" s="4">
        <f>LEN(C979)</f>
        <v>9</v>
      </c>
      <c r="I979" s="11">
        <f>MOD(H979,2)*4+FLOOR(H979/2,1)*6</f>
        <v>28</v>
      </c>
      <c r="J979" s="12" t="str">
        <f>IF(J978&lt;I977,"有效","无效")</f>
        <v>有效</v>
      </c>
      <c r="K979" s="20"/>
      <c r="L979" s="6" t="str">
        <f>IF(R979&lt;=12,"有效","无效")</f>
        <v>有效</v>
      </c>
      <c r="M979" s="31" t="s">
        <v>2356</v>
      </c>
      <c r="N979" s="32"/>
      <c r="O979" s="32"/>
      <c r="P979" s="32"/>
      <c r="Q979" s="33"/>
      <c r="R979" s="10">
        <f>LEN(M979)</f>
        <v>6</v>
      </c>
      <c r="S979" s="10">
        <f>MOD(R979,2)*4+FLOOR(R979/2,1)*6</f>
        <v>18</v>
      </c>
      <c r="T979" s="12" t="str">
        <f>IF(T978&lt;I977,"有效","无效")</f>
        <v>有效</v>
      </c>
    </row>
    <row r="980" spans="1:20" ht="20" customHeight="1">
      <c r="A980" s="22"/>
      <c r="B980" s="6" t="str">
        <f>IF(H980&lt;=12,"有效","无效")</f>
        <v>有效</v>
      </c>
      <c r="C980" s="31" t="s">
        <v>1690</v>
      </c>
      <c r="D980" s="32"/>
      <c r="E980" s="32"/>
      <c r="F980" s="32"/>
      <c r="G980" s="33"/>
      <c r="H980" s="4">
        <f>LEN(C980)</f>
        <v>5</v>
      </c>
      <c r="I980" s="11">
        <f>MOD(H980,2)*4+FLOOR(H980/2,1)*6</f>
        <v>16</v>
      </c>
      <c r="J980" s="12">
        <f>I980+I981</f>
        <v>34</v>
      </c>
      <c r="K980" s="20"/>
      <c r="L980" s="6" t="str">
        <f>IF(R980&lt;=12,"有效","无效")</f>
        <v>有效</v>
      </c>
      <c r="M980" s="31" t="s">
        <v>2354</v>
      </c>
      <c r="N980" s="32"/>
      <c r="O980" s="32"/>
      <c r="P980" s="32"/>
      <c r="Q980" s="33"/>
      <c r="R980" s="10">
        <f>LEN(M980)</f>
        <v>12</v>
      </c>
      <c r="S980" s="10">
        <f>MOD(R980,2)*4+FLOOR(R980/2,1)*6</f>
        <v>36</v>
      </c>
      <c r="T980" s="12">
        <f>S980+S981</f>
        <v>64</v>
      </c>
    </row>
    <row r="981" spans="1:20" ht="20" customHeight="1">
      <c r="A981" s="22"/>
      <c r="B981" s="6" t="str">
        <f>IF(H981&lt;=12,"有效","无效")</f>
        <v>有效</v>
      </c>
      <c r="C981" s="31" t="s">
        <v>1691</v>
      </c>
      <c r="D981" s="32"/>
      <c r="E981" s="32"/>
      <c r="F981" s="32"/>
      <c r="G981" s="33"/>
      <c r="H981" s="4">
        <f>LEN(C981)</f>
        <v>6</v>
      </c>
      <c r="I981" s="11">
        <f>MOD(H981,2)*4+FLOOR(H981/2,1)*6</f>
        <v>18</v>
      </c>
      <c r="J981" s="12" t="str">
        <f>IF(J980&lt;I977,"有效","无效")</f>
        <v>有效</v>
      </c>
      <c r="K981" s="20"/>
      <c r="L981" s="6" t="str">
        <f>IF(R981&lt;=12,"有效","无效")</f>
        <v>有效</v>
      </c>
      <c r="M981" s="31" t="s">
        <v>1692</v>
      </c>
      <c r="N981" s="32"/>
      <c r="O981" s="32"/>
      <c r="P981" s="32"/>
      <c r="Q981" s="33"/>
      <c r="R981" s="10">
        <f>LEN(M981)</f>
        <v>9</v>
      </c>
      <c r="S981" s="10">
        <f>MOD(R981,2)*4+FLOOR(R981/2,1)*6</f>
        <v>28</v>
      </c>
      <c r="T981" s="12" t="str">
        <f>IF(T980&lt;I977,"有效","无效")</f>
        <v>有效</v>
      </c>
    </row>
    <row r="982" spans="1:20" ht="20" customHeight="1">
      <c r="A982" s="22">
        <v>197</v>
      </c>
      <c r="B982" s="23" t="s">
        <v>318</v>
      </c>
      <c r="C982" s="24" t="s">
        <v>319</v>
      </c>
      <c r="D982" s="14">
        <f>LEN($B982)</f>
        <v>4</v>
      </c>
      <c r="E982" s="14">
        <f>LEN(C982)+3</f>
        <v>5</v>
      </c>
      <c r="F982" s="14">
        <f>MOD(D982,2)*4+FLOOR(D982/2,1)*6</f>
        <v>12</v>
      </c>
      <c r="G982" s="14">
        <f>MOD(E982,2)*4+FLOOR(E982/2,1)*6</f>
        <v>16</v>
      </c>
      <c r="H982" s="14">
        <v>12</v>
      </c>
      <c r="I982" s="14">
        <f>108-H982-G982-F982</f>
        <v>68</v>
      </c>
    </row>
    <row r="983" spans="1:20" ht="20" customHeight="1">
      <c r="A983" s="22"/>
      <c r="B983" s="6" t="str">
        <f>IF(H983&lt;=12,"有效","无效")</f>
        <v>有效</v>
      </c>
      <c r="C983" s="34" t="s">
        <v>1697</v>
      </c>
      <c r="D983" s="35"/>
      <c r="E983" s="35"/>
      <c r="F983" s="35"/>
      <c r="G983" s="36"/>
      <c r="H983" s="4">
        <f>LEN(C983)</f>
        <v>7</v>
      </c>
      <c r="I983" s="11">
        <f>MOD(H983,2)*4+FLOOR(H983/2,1)*6</f>
        <v>22</v>
      </c>
      <c r="J983" s="12">
        <f>I983+I984</f>
        <v>46</v>
      </c>
      <c r="K983" s="20"/>
      <c r="L983" s="13" t="str">
        <f>IF(R983&lt;=12,"有效","无效")</f>
        <v>有效</v>
      </c>
      <c r="M983" s="32" t="s">
        <v>1696</v>
      </c>
      <c r="N983" s="32"/>
      <c r="O983" s="32"/>
      <c r="P983" s="32"/>
      <c r="Q983" s="33"/>
      <c r="R983" s="10">
        <f>LEN(M983)</f>
        <v>11</v>
      </c>
      <c r="S983" s="10">
        <f>MOD(R983,2)*4+FLOOR(R983/2,1)*6</f>
        <v>34</v>
      </c>
      <c r="T983" s="12">
        <f>S983+S984</f>
        <v>64</v>
      </c>
    </row>
    <row r="984" spans="1:20" ht="20" customHeight="1">
      <c r="A984" s="22"/>
      <c r="B984" s="6" t="str">
        <f>IF(H984&lt;=12,"有效","无效")</f>
        <v>有效</v>
      </c>
      <c r="C984" s="34" t="s">
        <v>1698</v>
      </c>
      <c r="D984" s="35"/>
      <c r="E984" s="35"/>
      <c r="F984" s="35"/>
      <c r="G984" s="36"/>
      <c r="H984" s="4">
        <f>LEN(C984)</f>
        <v>8</v>
      </c>
      <c r="I984" s="11">
        <f>MOD(H984,2)*4+FLOOR(H984/2,1)*6</f>
        <v>24</v>
      </c>
      <c r="J984" s="12" t="str">
        <f>IF(J983&lt;I982,"有效","无效")</f>
        <v>有效</v>
      </c>
      <c r="K984" s="20"/>
      <c r="L984" s="6" t="str">
        <f>IF(R984&lt;=12,"有效","无效")</f>
        <v>有效</v>
      </c>
      <c r="M984" s="31" t="s">
        <v>1695</v>
      </c>
      <c r="N984" s="32"/>
      <c r="O984" s="32"/>
      <c r="P984" s="32"/>
      <c r="Q984" s="33"/>
      <c r="R984" s="10">
        <f>LEN(M984)</f>
        <v>10</v>
      </c>
      <c r="S984" s="10">
        <f>MOD(R984,2)*4+FLOOR(R984/2,1)*6</f>
        <v>30</v>
      </c>
      <c r="T984" s="12" t="str">
        <f>IF(T983&lt;I982,"有效","无效")</f>
        <v>有效</v>
      </c>
    </row>
    <row r="985" spans="1:20" ht="20" customHeight="1">
      <c r="A985" s="22"/>
      <c r="B985" s="6" t="str">
        <f>IF(H985&lt;=12,"有效","无效")</f>
        <v>有效</v>
      </c>
      <c r="C985" s="34" t="s">
        <v>1699</v>
      </c>
      <c r="D985" s="35"/>
      <c r="E985" s="35"/>
      <c r="F985" s="35"/>
      <c r="G985" s="36"/>
      <c r="H985" s="4">
        <f>LEN(C985)</f>
        <v>10</v>
      </c>
      <c r="I985" s="11">
        <f>MOD(H985,2)*4+FLOOR(H985/2,1)*6</f>
        <v>30</v>
      </c>
      <c r="J985" s="12">
        <f>I985+I986</f>
        <v>48</v>
      </c>
      <c r="K985" s="20"/>
      <c r="L985" s="6" t="str">
        <f>IF(R985&lt;=12,"有效","无效")</f>
        <v>有效</v>
      </c>
      <c r="M985" s="31" t="s">
        <v>1694</v>
      </c>
      <c r="N985" s="32"/>
      <c r="O985" s="32"/>
      <c r="P985" s="32"/>
      <c r="Q985" s="33"/>
      <c r="R985" s="10">
        <f>LEN(M985)</f>
        <v>9</v>
      </c>
      <c r="S985" s="10">
        <f>MOD(R985,2)*4+FLOOR(R985/2,1)*6</f>
        <v>28</v>
      </c>
      <c r="T985" s="12">
        <f>S985+S986</f>
        <v>52</v>
      </c>
    </row>
    <row r="986" spans="1:20" ht="20" customHeight="1">
      <c r="A986" s="22"/>
      <c r="B986" s="6" t="str">
        <f>IF(H986&lt;=12,"有效","无效")</f>
        <v>有效</v>
      </c>
      <c r="C986" s="34" t="s">
        <v>1700</v>
      </c>
      <c r="D986" s="35"/>
      <c r="E986" s="35"/>
      <c r="F986" s="35"/>
      <c r="G986" s="36"/>
      <c r="H986" s="4">
        <f>LEN(C986)</f>
        <v>6</v>
      </c>
      <c r="I986" s="11">
        <f>MOD(H986,2)*4+FLOOR(H986/2,1)*6</f>
        <v>18</v>
      </c>
      <c r="J986" s="12" t="str">
        <f>IF(J985&lt;I982,"有效","无效")</f>
        <v>有效</v>
      </c>
      <c r="K986" s="20"/>
      <c r="L986" s="6" t="str">
        <f>IF(R986&lt;=12,"有效","无效")</f>
        <v>有效</v>
      </c>
      <c r="M986" s="31" t="s">
        <v>1693</v>
      </c>
      <c r="N986" s="32"/>
      <c r="O986" s="32"/>
      <c r="P986" s="32"/>
      <c r="Q986" s="33"/>
      <c r="R986" s="10">
        <f>LEN(M986)</f>
        <v>8</v>
      </c>
      <c r="S986" s="10">
        <f>MOD(R986,2)*4+FLOOR(R986/2,1)*6</f>
        <v>24</v>
      </c>
      <c r="T986" s="12" t="str">
        <f>IF(T985&lt;I982,"有效","无效")</f>
        <v>有效</v>
      </c>
    </row>
    <row r="987" spans="1:20" ht="20" customHeight="1">
      <c r="A987" s="22">
        <v>198</v>
      </c>
      <c r="B987" s="23" t="s">
        <v>320</v>
      </c>
      <c r="C987" s="24" t="s">
        <v>321</v>
      </c>
      <c r="D987" s="14">
        <f>LEN($B987)</f>
        <v>3</v>
      </c>
      <c r="E987" s="14">
        <f>LEN(C987)+3</f>
        <v>5</v>
      </c>
      <c r="F987" s="14">
        <f>MOD(D987,2)*4+FLOOR(D987/2,1)*6</f>
        <v>10</v>
      </c>
      <c r="G987" s="14">
        <f>MOD(E987,2)*4+FLOOR(E987/2,1)*6</f>
        <v>16</v>
      </c>
      <c r="H987" s="14">
        <v>12</v>
      </c>
      <c r="I987" s="14">
        <f>108-H987-G987-F987</f>
        <v>70</v>
      </c>
    </row>
    <row r="988" spans="1:20" ht="20" customHeight="1">
      <c r="A988" s="22"/>
      <c r="B988" s="6" t="str">
        <f>IF(H988&lt;=12,"有效","无效")</f>
        <v>有效</v>
      </c>
      <c r="C988" s="31" t="s">
        <v>1701</v>
      </c>
      <c r="D988" s="32"/>
      <c r="E988" s="32"/>
      <c r="F988" s="32"/>
      <c r="G988" s="33"/>
      <c r="H988" s="4">
        <f>LEN(C988)</f>
        <v>9</v>
      </c>
      <c r="I988" s="11">
        <f>MOD(H988,2)*4+FLOOR(H988/2,1)*6</f>
        <v>28</v>
      </c>
      <c r="J988" s="12">
        <f>I988+I989</f>
        <v>58</v>
      </c>
      <c r="K988" s="20"/>
      <c r="L988" s="13" t="str">
        <f>IF(R988&lt;=12,"有效","无效")</f>
        <v>有效</v>
      </c>
      <c r="M988" s="35" t="s">
        <v>1705</v>
      </c>
      <c r="N988" s="35"/>
      <c r="O988" s="35"/>
      <c r="P988" s="35"/>
      <c r="Q988" s="36"/>
      <c r="R988" s="10">
        <f>LEN(M988)</f>
        <v>11</v>
      </c>
      <c r="S988" s="10">
        <f>MOD(R988,2)*4+FLOOR(R988/2,1)*6</f>
        <v>34</v>
      </c>
      <c r="T988" s="12">
        <f>S988+S989</f>
        <v>62</v>
      </c>
    </row>
    <row r="989" spans="1:20" ht="20" customHeight="1">
      <c r="A989" s="22"/>
      <c r="B989" s="6" t="str">
        <f>IF(H989&lt;=12,"有效","无效")</f>
        <v>有效</v>
      </c>
      <c r="C989" s="31" t="s">
        <v>1702</v>
      </c>
      <c r="D989" s="32"/>
      <c r="E989" s="32"/>
      <c r="F989" s="32"/>
      <c r="G989" s="33"/>
      <c r="H989" s="4">
        <f>LEN(C989)</f>
        <v>10</v>
      </c>
      <c r="I989" s="11">
        <f>MOD(H989,2)*4+FLOOR(H989/2,1)*6</f>
        <v>30</v>
      </c>
      <c r="J989" s="12" t="str">
        <f>IF(J988&lt;I987,"有效","无效")</f>
        <v>有效</v>
      </c>
      <c r="K989" s="20"/>
      <c r="L989" s="6" t="str">
        <f>IF(R989&lt;=12,"有效","无效")</f>
        <v>有效</v>
      </c>
      <c r="M989" s="34" t="s">
        <v>1706</v>
      </c>
      <c r="N989" s="35"/>
      <c r="O989" s="35"/>
      <c r="P989" s="35"/>
      <c r="Q989" s="36"/>
      <c r="R989" s="10">
        <f>LEN(M989)</f>
        <v>9</v>
      </c>
      <c r="S989" s="10">
        <f>MOD(R989,2)*4+FLOOR(R989/2,1)*6</f>
        <v>28</v>
      </c>
      <c r="T989" s="12" t="str">
        <f>IF(T988&lt;I987,"有效","无效")</f>
        <v>有效</v>
      </c>
    </row>
    <row r="990" spans="1:20" ht="20" customHeight="1">
      <c r="A990" s="22"/>
      <c r="B990" s="6" t="str">
        <f>IF(H990&lt;=12,"有效","无效")</f>
        <v>有效</v>
      </c>
      <c r="C990" s="31" t="s">
        <v>1703</v>
      </c>
      <c r="D990" s="32"/>
      <c r="E990" s="32"/>
      <c r="F990" s="32"/>
      <c r="G990" s="33"/>
      <c r="H990" s="4">
        <f>LEN(C990)</f>
        <v>3</v>
      </c>
      <c r="I990" s="11">
        <f>MOD(H990,2)*4+FLOOR(H990/2,1)*6</f>
        <v>10</v>
      </c>
      <c r="J990" s="12">
        <f>I990+I991</f>
        <v>44</v>
      </c>
      <c r="K990" s="20"/>
      <c r="L990" s="6" t="str">
        <f>IF(R990&lt;=12,"有效","无效")</f>
        <v>有效</v>
      </c>
      <c r="M990" s="34" t="s">
        <v>1707</v>
      </c>
      <c r="N990" s="35"/>
      <c r="O990" s="35"/>
      <c r="P990" s="35"/>
      <c r="Q990" s="36"/>
      <c r="R990" s="10">
        <f>LEN(M990)</f>
        <v>7</v>
      </c>
      <c r="S990" s="10">
        <f>MOD(R990,2)*4+FLOOR(R990/2,1)*6</f>
        <v>22</v>
      </c>
      <c r="T990" s="12">
        <f>S990+S991</f>
        <v>44</v>
      </c>
    </row>
    <row r="991" spans="1:20" ht="20" customHeight="1">
      <c r="A991" s="22"/>
      <c r="B991" s="6" t="str">
        <f>IF(H991&lt;=12,"有效","无效")</f>
        <v>有效</v>
      </c>
      <c r="C991" s="31" t="s">
        <v>1704</v>
      </c>
      <c r="D991" s="32"/>
      <c r="E991" s="32"/>
      <c r="F991" s="32"/>
      <c r="G991" s="33"/>
      <c r="H991" s="4">
        <f>LEN(C991)</f>
        <v>11</v>
      </c>
      <c r="I991" s="11">
        <f>MOD(H991,2)*4+FLOOR(H991/2,1)*6</f>
        <v>34</v>
      </c>
      <c r="J991" s="12" t="str">
        <f>IF(J990&lt;I987,"有效","无效")</f>
        <v>有效</v>
      </c>
      <c r="K991" s="20"/>
      <c r="L991" s="6" t="str">
        <f>IF(R991&lt;=12,"有效","无效")</f>
        <v>有效</v>
      </c>
      <c r="M991" s="34" t="s">
        <v>1708</v>
      </c>
      <c r="N991" s="35"/>
      <c r="O991" s="35"/>
      <c r="P991" s="35"/>
      <c r="Q991" s="36"/>
      <c r="R991" s="10">
        <f>LEN(M991)</f>
        <v>7</v>
      </c>
      <c r="S991" s="10">
        <f>MOD(R991,2)*4+FLOOR(R991/2,1)*6</f>
        <v>22</v>
      </c>
      <c r="T991" s="12" t="str">
        <f>IF(T990&lt;I987,"有效","无效")</f>
        <v>有效</v>
      </c>
    </row>
    <row r="992" spans="1:20" ht="20" customHeight="1">
      <c r="A992" s="22">
        <v>199</v>
      </c>
      <c r="B992" s="23" t="s">
        <v>322</v>
      </c>
      <c r="C992" s="24" t="s">
        <v>323</v>
      </c>
      <c r="D992" s="14">
        <f>LEN($B992)</f>
        <v>3</v>
      </c>
      <c r="E992" s="14">
        <f>LEN(C992)+3</f>
        <v>5</v>
      </c>
      <c r="F992" s="14">
        <f>MOD(D992,2)*4+FLOOR(D992/2,1)*6</f>
        <v>10</v>
      </c>
      <c r="G992" s="14">
        <f>MOD(E992,2)*4+FLOOR(E992/2,1)*6</f>
        <v>16</v>
      </c>
      <c r="H992" s="14">
        <v>12</v>
      </c>
      <c r="I992" s="14">
        <f>108-H992-G992-F992</f>
        <v>70</v>
      </c>
    </row>
    <row r="993" spans="1:20" ht="20" customHeight="1">
      <c r="A993" s="22"/>
      <c r="B993" s="6" t="str">
        <f>IF(H993&lt;=12,"有效","无效")</f>
        <v>有效</v>
      </c>
      <c r="C993" s="31" t="s">
        <v>1709</v>
      </c>
      <c r="D993" s="32"/>
      <c r="E993" s="32"/>
      <c r="F993" s="32"/>
      <c r="G993" s="33"/>
      <c r="H993" s="4">
        <f>LEN(C993)</f>
        <v>5</v>
      </c>
      <c r="I993" s="11">
        <f>MOD(H993,2)*4+FLOOR(H993/2,1)*6</f>
        <v>16</v>
      </c>
      <c r="J993" s="12">
        <f>I993+I994</f>
        <v>34</v>
      </c>
      <c r="K993" s="20"/>
      <c r="L993" s="13" t="str">
        <f>IF(R993&lt;=12,"有效","无效")</f>
        <v>有效</v>
      </c>
      <c r="M993" s="32" t="s">
        <v>1713</v>
      </c>
      <c r="N993" s="32"/>
      <c r="O993" s="32"/>
      <c r="P993" s="32"/>
      <c r="Q993" s="33"/>
      <c r="R993" s="10">
        <f>LEN(M993)</f>
        <v>4</v>
      </c>
      <c r="S993" s="10">
        <f>MOD(R993,2)*4+FLOOR(R993/2,1)*6</f>
        <v>12</v>
      </c>
      <c r="T993" s="12">
        <f>S993+S994</f>
        <v>34</v>
      </c>
    </row>
    <row r="994" spans="1:20" ht="20" customHeight="1">
      <c r="A994" s="22"/>
      <c r="B994" s="6" t="str">
        <f>IF(H994&lt;=12,"有效","无效")</f>
        <v>有效</v>
      </c>
      <c r="C994" s="31" t="s">
        <v>1710</v>
      </c>
      <c r="D994" s="32"/>
      <c r="E994" s="32"/>
      <c r="F994" s="32"/>
      <c r="G994" s="33"/>
      <c r="H994" s="4">
        <f>LEN(C994)</f>
        <v>6</v>
      </c>
      <c r="I994" s="11">
        <f>MOD(H994,2)*4+FLOOR(H994/2,1)*6</f>
        <v>18</v>
      </c>
      <c r="J994" s="12" t="str">
        <f>IF(J993&lt;I992,"有效","无效")</f>
        <v>有效</v>
      </c>
      <c r="K994" s="20"/>
      <c r="L994" s="6" t="str">
        <f>IF(R994&lt;=12,"有效","无效")</f>
        <v>有效</v>
      </c>
      <c r="M994" s="31" t="s">
        <v>1714</v>
      </c>
      <c r="N994" s="32"/>
      <c r="O994" s="32"/>
      <c r="P994" s="32"/>
      <c r="Q994" s="33"/>
      <c r="R994" s="10">
        <f>LEN(M994)</f>
        <v>7</v>
      </c>
      <c r="S994" s="10">
        <f>MOD(R994,2)*4+FLOOR(R994/2,1)*6</f>
        <v>22</v>
      </c>
      <c r="T994" s="12" t="str">
        <f>IF(T993&lt;I992,"有效","无效")</f>
        <v>有效</v>
      </c>
    </row>
    <row r="995" spans="1:20" ht="20" customHeight="1">
      <c r="A995" s="22"/>
      <c r="B995" s="6" t="str">
        <f>IF(H995&lt;=12,"有效","无效")</f>
        <v>有效</v>
      </c>
      <c r="C995" s="31" t="s">
        <v>1711</v>
      </c>
      <c r="D995" s="32"/>
      <c r="E995" s="32"/>
      <c r="F995" s="32"/>
      <c r="G995" s="33"/>
      <c r="H995" s="4">
        <f>LEN(C995)</f>
        <v>11</v>
      </c>
      <c r="I995" s="11">
        <f>MOD(H995,2)*4+FLOOR(H995/2,1)*6</f>
        <v>34</v>
      </c>
      <c r="J995" s="12">
        <f>I995+I996</f>
        <v>64</v>
      </c>
      <c r="K995" s="20"/>
      <c r="L995" s="6" t="str">
        <f>IF(R995&lt;=12,"有效","无效")</f>
        <v>有效</v>
      </c>
      <c r="M995" s="31" t="s">
        <v>1715</v>
      </c>
      <c r="N995" s="32"/>
      <c r="O995" s="32"/>
      <c r="P995" s="32"/>
      <c r="Q995" s="33"/>
      <c r="R995" s="10">
        <f>LEN(M995)</f>
        <v>9</v>
      </c>
      <c r="S995" s="10">
        <f>MOD(R995,2)*4+FLOOR(R995/2,1)*6</f>
        <v>28</v>
      </c>
      <c r="T995" s="12">
        <f>S995+S996</f>
        <v>40</v>
      </c>
    </row>
    <row r="996" spans="1:20" ht="20" customHeight="1">
      <c r="A996" s="22"/>
      <c r="B996" s="6" t="str">
        <f>IF(H996&lt;=12,"有效","无效")</f>
        <v>有效</v>
      </c>
      <c r="C996" s="31" t="s">
        <v>1712</v>
      </c>
      <c r="D996" s="32"/>
      <c r="E996" s="32"/>
      <c r="F996" s="32"/>
      <c r="G996" s="33"/>
      <c r="H996" s="4">
        <f>LEN(C996)</f>
        <v>10</v>
      </c>
      <c r="I996" s="11">
        <f>MOD(H996,2)*4+FLOOR(H996/2,1)*6</f>
        <v>30</v>
      </c>
      <c r="J996" s="12" t="str">
        <f>IF(J995&lt;I992,"有效","无效")</f>
        <v>有效</v>
      </c>
      <c r="K996" s="20"/>
      <c r="L996" s="6" t="str">
        <f>IF(R996&lt;=12,"有效","无效")</f>
        <v>有效</v>
      </c>
      <c r="M996" s="31" t="s">
        <v>1716</v>
      </c>
      <c r="N996" s="32"/>
      <c r="O996" s="32"/>
      <c r="P996" s="32"/>
      <c r="Q996" s="33"/>
      <c r="R996" s="10">
        <f>LEN(M996)</f>
        <v>4</v>
      </c>
      <c r="S996" s="10">
        <f>MOD(R996,2)*4+FLOOR(R996/2,1)*6</f>
        <v>12</v>
      </c>
      <c r="T996" s="12" t="str">
        <f>IF(T995&lt;I992,"有效","无效")</f>
        <v>有效</v>
      </c>
    </row>
    <row r="997" spans="1:20" ht="20" customHeight="1">
      <c r="A997" s="22">
        <v>200</v>
      </c>
      <c r="B997" s="23" t="s">
        <v>324</v>
      </c>
      <c r="C997" s="24" t="s">
        <v>325</v>
      </c>
      <c r="D997" s="14">
        <f>LEN($B997)</f>
        <v>2</v>
      </c>
      <c r="E997" s="14">
        <f>LEN(C997)+3</f>
        <v>5</v>
      </c>
      <c r="F997" s="14">
        <f>MOD(D997,2)*4+FLOOR(D997/2,1)*6</f>
        <v>6</v>
      </c>
      <c r="G997" s="14">
        <f>MOD(E997,2)*4+FLOOR(E997/2,1)*6</f>
        <v>16</v>
      </c>
      <c r="H997" s="14">
        <v>12</v>
      </c>
      <c r="I997" s="14">
        <f>108-H997-G997-F997</f>
        <v>74</v>
      </c>
    </row>
    <row r="998" spans="1:20" ht="20" customHeight="1">
      <c r="A998" s="22"/>
      <c r="B998" s="6" t="str">
        <f>IF(H998&lt;=12,"有效","无效")</f>
        <v>有效</v>
      </c>
      <c r="C998" s="31" t="s">
        <v>1717</v>
      </c>
      <c r="D998" s="32"/>
      <c r="E998" s="32"/>
      <c r="F998" s="32"/>
      <c r="G998" s="33"/>
      <c r="H998" s="4">
        <f>LEN(C998)</f>
        <v>6</v>
      </c>
      <c r="I998" s="11">
        <f>MOD(H998,2)*4+FLOOR(H998/2,1)*6</f>
        <v>18</v>
      </c>
      <c r="J998" s="12">
        <f>I998+I999</f>
        <v>46</v>
      </c>
      <c r="K998" s="20"/>
      <c r="L998" s="13" t="str">
        <f>IF(R998&lt;=12,"有效","无效")</f>
        <v>有效</v>
      </c>
      <c r="M998" s="32" t="s">
        <v>1721</v>
      </c>
      <c r="N998" s="32"/>
      <c r="O998" s="32"/>
      <c r="P998" s="32"/>
      <c r="Q998" s="33"/>
      <c r="R998" s="10">
        <f>LEN(M998)</f>
        <v>7</v>
      </c>
      <c r="S998" s="10">
        <f>MOD(R998,2)*4+FLOOR(R998/2,1)*6</f>
        <v>22</v>
      </c>
      <c r="T998" s="12">
        <f>S998+S999</f>
        <v>44</v>
      </c>
    </row>
    <row r="999" spans="1:20" ht="20" customHeight="1">
      <c r="A999" s="22"/>
      <c r="B999" s="6" t="str">
        <f>IF(H999&lt;=12,"有效","无效")</f>
        <v>有效</v>
      </c>
      <c r="C999" s="31" t="s">
        <v>1718</v>
      </c>
      <c r="D999" s="32"/>
      <c r="E999" s="32"/>
      <c r="F999" s="32"/>
      <c r="G999" s="33"/>
      <c r="H999" s="4">
        <f>LEN(C999)</f>
        <v>9</v>
      </c>
      <c r="I999" s="11">
        <f>MOD(H999,2)*4+FLOOR(H999/2,1)*6</f>
        <v>28</v>
      </c>
      <c r="J999" s="12" t="str">
        <f>IF(J998&lt;I997,"有效","无效")</f>
        <v>有效</v>
      </c>
      <c r="K999" s="20"/>
      <c r="L999" s="6" t="str">
        <f>IF(R999&lt;=12,"有效","无效")</f>
        <v>有效</v>
      </c>
      <c r="M999" s="31" t="s">
        <v>1722</v>
      </c>
      <c r="N999" s="32"/>
      <c r="O999" s="32"/>
      <c r="P999" s="32"/>
      <c r="Q999" s="33"/>
      <c r="R999" s="10">
        <f>LEN(M999)</f>
        <v>7</v>
      </c>
      <c r="S999" s="10">
        <f>MOD(R999,2)*4+FLOOR(R999/2,1)*6</f>
        <v>22</v>
      </c>
      <c r="T999" s="12" t="str">
        <f>IF(T998&lt;I997,"有效","无效")</f>
        <v>有效</v>
      </c>
    </row>
    <row r="1000" spans="1:20" ht="20" customHeight="1">
      <c r="A1000" s="22"/>
      <c r="B1000" s="6" t="str">
        <f>IF(H1000&lt;=12,"有效","无效")</f>
        <v>有效</v>
      </c>
      <c r="C1000" s="31" t="s">
        <v>1719</v>
      </c>
      <c r="D1000" s="32"/>
      <c r="E1000" s="32"/>
      <c r="F1000" s="32"/>
      <c r="G1000" s="33"/>
      <c r="H1000" s="4">
        <f>LEN(C1000)</f>
        <v>8</v>
      </c>
      <c r="I1000" s="11">
        <f>MOD(H1000,2)*4+FLOOR(H1000/2,1)*6</f>
        <v>24</v>
      </c>
      <c r="J1000" s="12">
        <f>I1000+I1001</f>
        <v>42</v>
      </c>
      <c r="K1000" s="20"/>
      <c r="L1000" s="6" t="str">
        <f>IF(R1000&lt;=12,"有效","无效")</f>
        <v>有效</v>
      </c>
      <c r="M1000" s="31" t="s">
        <v>1724</v>
      </c>
      <c r="N1000" s="32"/>
      <c r="O1000" s="32"/>
      <c r="P1000" s="32"/>
      <c r="Q1000" s="33"/>
      <c r="R1000" s="10">
        <f>LEN(M1000)</f>
        <v>10</v>
      </c>
      <c r="S1000" s="10">
        <f>MOD(R1000,2)*4+FLOOR(R1000/2,1)*6</f>
        <v>30</v>
      </c>
      <c r="T1000" s="12">
        <f>S1000+S1001</f>
        <v>52</v>
      </c>
    </row>
    <row r="1001" spans="1:20" ht="20" customHeight="1">
      <c r="A1001" s="22"/>
      <c r="B1001" s="6" t="str">
        <f>IF(H1001&lt;=12,"有效","无效")</f>
        <v>有效</v>
      </c>
      <c r="C1001" s="31" t="s">
        <v>1720</v>
      </c>
      <c r="D1001" s="32"/>
      <c r="E1001" s="32"/>
      <c r="F1001" s="32"/>
      <c r="G1001" s="33"/>
      <c r="H1001" s="4">
        <f>LEN(C1001)</f>
        <v>6</v>
      </c>
      <c r="I1001" s="11">
        <f>MOD(H1001,2)*4+FLOOR(H1001/2,1)*6</f>
        <v>18</v>
      </c>
      <c r="J1001" s="12" t="str">
        <f>IF(J1000&lt;I997,"有效","无效")</f>
        <v>有效</v>
      </c>
      <c r="K1001" s="20"/>
      <c r="L1001" s="6" t="str">
        <f>IF(R1001&lt;=12,"有效","无效")</f>
        <v>有效</v>
      </c>
      <c r="M1001" s="31" t="s">
        <v>1723</v>
      </c>
      <c r="N1001" s="32"/>
      <c r="O1001" s="32"/>
      <c r="P1001" s="32"/>
      <c r="Q1001" s="33"/>
      <c r="R1001" s="10">
        <f>LEN(M1001)</f>
        <v>7</v>
      </c>
      <c r="S1001" s="10">
        <f>MOD(R1001,2)*4+FLOOR(R1001/2,1)*6</f>
        <v>22</v>
      </c>
      <c r="T1001" s="12" t="str">
        <f>IF(T1000&lt;I997,"有效","无效")</f>
        <v>有效</v>
      </c>
    </row>
    <row r="1002" spans="1:20" ht="20" customHeight="1">
      <c r="A1002" s="22">
        <v>201</v>
      </c>
      <c r="B1002" s="23" t="s">
        <v>326</v>
      </c>
      <c r="C1002" s="24" t="s">
        <v>327</v>
      </c>
      <c r="D1002" s="14">
        <f>LEN($B1002)</f>
        <v>4</v>
      </c>
      <c r="E1002" s="14">
        <f>LEN(C1002)+3</f>
        <v>5</v>
      </c>
      <c r="F1002" s="14">
        <f>MOD(D1002,2)*4+FLOOR(D1002/2,1)*6</f>
        <v>12</v>
      </c>
      <c r="G1002" s="14">
        <f>MOD(E1002,2)*4+FLOOR(E1002/2,1)*6</f>
        <v>16</v>
      </c>
      <c r="H1002" s="14">
        <v>12</v>
      </c>
      <c r="I1002" s="14">
        <f>108-H1002-G1002-F1002</f>
        <v>68</v>
      </c>
    </row>
    <row r="1003" spans="1:20" ht="20" customHeight="1">
      <c r="A1003" s="22"/>
      <c r="B1003" s="6" t="str">
        <f>IF(H1003&lt;=12,"有效","无效")</f>
        <v>有效</v>
      </c>
      <c r="C1003" s="34" t="s">
        <v>1729</v>
      </c>
      <c r="D1003" s="35"/>
      <c r="E1003" s="35"/>
      <c r="F1003" s="35"/>
      <c r="G1003" s="36"/>
      <c r="H1003" s="4">
        <f>LEN(C1003)</f>
        <v>11</v>
      </c>
      <c r="I1003" s="11">
        <f>MOD(H1003,2)*4+FLOOR(H1003/2,1)*6</f>
        <v>34</v>
      </c>
      <c r="J1003" s="12">
        <f>I1003+I1004</f>
        <v>58</v>
      </c>
      <c r="K1003" s="20"/>
      <c r="L1003" s="13" t="str">
        <f>IF(R1003&lt;=12,"有效","无效")</f>
        <v>有效</v>
      </c>
      <c r="M1003" s="32" t="s">
        <v>1725</v>
      </c>
      <c r="N1003" s="32"/>
      <c r="O1003" s="32"/>
      <c r="P1003" s="32"/>
      <c r="Q1003" s="33"/>
      <c r="R1003" s="10">
        <f>LEN(M1003)</f>
        <v>5</v>
      </c>
      <c r="S1003" s="10">
        <f>MOD(R1003,2)*4+FLOOR(R1003/2,1)*6</f>
        <v>16</v>
      </c>
      <c r="T1003" s="12">
        <f>S1003+S1004</f>
        <v>40</v>
      </c>
    </row>
    <row r="1004" spans="1:20" ht="20" customHeight="1">
      <c r="A1004" s="22"/>
      <c r="B1004" s="6" t="str">
        <f>IF(H1004&lt;=12,"有效","无效")</f>
        <v>有效</v>
      </c>
      <c r="C1004" s="34" t="s">
        <v>1730</v>
      </c>
      <c r="D1004" s="35"/>
      <c r="E1004" s="35"/>
      <c r="F1004" s="35"/>
      <c r="G1004" s="36"/>
      <c r="H1004" s="4">
        <f>LEN(C1004)</f>
        <v>8</v>
      </c>
      <c r="I1004" s="11">
        <f>MOD(H1004,2)*4+FLOOR(H1004/2,1)*6</f>
        <v>24</v>
      </c>
      <c r="J1004" s="12" t="str">
        <f>IF(J1003&lt;I1002,"有效","无效")</f>
        <v>有效</v>
      </c>
      <c r="K1004" s="20"/>
      <c r="L1004" s="6" t="str">
        <f>IF(R1004&lt;=12,"有效","无效")</f>
        <v>有效</v>
      </c>
      <c r="M1004" s="31" t="s">
        <v>1726</v>
      </c>
      <c r="N1004" s="32"/>
      <c r="O1004" s="32"/>
      <c r="P1004" s="32"/>
      <c r="Q1004" s="33"/>
      <c r="R1004" s="10">
        <f>LEN(M1004)</f>
        <v>8</v>
      </c>
      <c r="S1004" s="10">
        <f>MOD(R1004,2)*4+FLOOR(R1004/2,1)*6</f>
        <v>24</v>
      </c>
      <c r="T1004" s="12" t="str">
        <f>IF(T1003&lt;I1002,"有效","无效")</f>
        <v>有效</v>
      </c>
    </row>
    <row r="1005" spans="1:20" ht="20" customHeight="1">
      <c r="A1005" s="22"/>
      <c r="B1005" s="6" t="str">
        <f>IF(H1005&lt;=12,"有效","无效")</f>
        <v>有效</v>
      </c>
      <c r="C1005" s="34" t="s">
        <v>1731</v>
      </c>
      <c r="D1005" s="35"/>
      <c r="E1005" s="35"/>
      <c r="F1005" s="35"/>
      <c r="G1005" s="36"/>
      <c r="H1005" s="4">
        <f>LEN(C1005)</f>
        <v>4</v>
      </c>
      <c r="I1005" s="11">
        <f>MOD(H1005,2)*4+FLOOR(H1005/2,1)*6</f>
        <v>12</v>
      </c>
      <c r="J1005" s="12">
        <f>I1005+I1006</f>
        <v>42</v>
      </c>
      <c r="K1005" s="20"/>
      <c r="L1005" s="6" t="str">
        <f>IF(R1005&lt;=12,"有效","无效")</f>
        <v>有效</v>
      </c>
      <c r="M1005" s="31" t="s">
        <v>1727</v>
      </c>
      <c r="N1005" s="32"/>
      <c r="O1005" s="32"/>
      <c r="P1005" s="32"/>
      <c r="Q1005" s="33"/>
      <c r="R1005" s="10">
        <f>LEN(M1005)</f>
        <v>4</v>
      </c>
      <c r="S1005" s="10">
        <f>MOD(R1005,2)*4+FLOOR(R1005/2,1)*6</f>
        <v>12</v>
      </c>
      <c r="T1005" s="12">
        <f>S1005+S1006</f>
        <v>40</v>
      </c>
    </row>
    <row r="1006" spans="1:20" ht="20" customHeight="1">
      <c r="A1006" s="22"/>
      <c r="B1006" s="6" t="str">
        <f>IF(H1006&lt;=12,"有效","无效")</f>
        <v>有效</v>
      </c>
      <c r="C1006" s="34" t="s">
        <v>1732</v>
      </c>
      <c r="D1006" s="35"/>
      <c r="E1006" s="35"/>
      <c r="F1006" s="35"/>
      <c r="G1006" s="36"/>
      <c r="H1006" s="4">
        <f>LEN(C1006)</f>
        <v>10</v>
      </c>
      <c r="I1006" s="11">
        <f>MOD(H1006,2)*4+FLOOR(H1006/2,1)*6</f>
        <v>30</v>
      </c>
      <c r="J1006" s="12" t="str">
        <f>IF(J1005&lt;I1002,"有效","无效")</f>
        <v>有效</v>
      </c>
      <c r="K1006" s="20"/>
      <c r="L1006" s="6" t="str">
        <f>IF(R1006&lt;=12,"有效","无效")</f>
        <v>有效</v>
      </c>
      <c r="M1006" s="31" t="s">
        <v>1728</v>
      </c>
      <c r="N1006" s="32"/>
      <c r="O1006" s="32"/>
      <c r="P1006" s="32"/>
      <c r="Q1006" s="33"/>
      <c r="R1006" s="10">
        <f>LEN(M1006)</f>
        <v>9</v>
      </c>
      <c r="S1006" s="10">
        <f>MOD(R1006,2)*4+FLOOR(R1006/2,1)*6</f>
        <v>28</v>
      </c>
      <c r="T1006" s="12" t="str">
        <f>IF(T1005&lt;I1002,"有效","无效")</f>
        <v>有效</v>
      </c>
    </row>
    <row r="1007" spans="1:20" ht="20" customHeight="1">
      <c r="A1007" s="22">
        <v>202</v>
      </c>
      <c r="B1007" s="23" t="s">
        <v>328</v>
      </c>
      <c r="C1007" s="24" t="s">
        <v>329</v>
      </c>
      <c r="D1007" s="14">
        <f>LEN($B1007)</f>
        <v>3</v>
      </c>
      <c r="E1007" s="14">
        <f>LEN(C1007)+3</f>
        <v>5</v>
      </c>
      <c r="F1007" s="14">
        <f>MOD(D1007,2)*4+FLOOR(D1007/2,1)*6</f>
        <v>10</v>
      </c>
      <c r="G1007" s="14">
        <f>MOD(E1007,2)*4+FLOOR(E1007/2,1)*6</f>
        <v>16</v>
      </c>
      <c r="H1007" s="14">
        <v>12</v>
      </c>
      <c r="I1007" s="14">
        <f>108-H1007-G1007-F1007</f>
        <v>70</v>
      </c>
    </row>
    <row r="1008" spans="1:20" ht="20" customHeight="1">
      <c r="A1008" s="22"/>
      <c r="B1008" s="6" t="str">
        <f>IF(H1008&lt;=12,"有效","无效")</f>
        <v>有效</v>
      </c>
      <c r="C1008" s="31" t="s">
        <v>1733</v>
      </c>
      <c r="D1008" s="32"/>
      <c r="E1008" s="32"/>
      <c r="F1008" s="32"/>
      <c r="G1008" s="33"/>
      <c r="H1008" s="4">
        <f>LEN(C1008)</f>
        <v>7</v>
      </c>
      <c r="I1008" s="11">
        <f>MOD(H1008,2)*4+FLOOR(H1008/2,1)*6</f>
        <v>22</v>
      </c>
      <c r="J1008" s="12">
        <f>I1008+I1009</f>
        <v>40</v>
      </c>
      <c r="K1008" s="20"/>
      <c r="L1008" s="13" t="str">
        <f>IF(R1008&lt;=12,"有效","无效")</f>
        <v>有效</v>
      </c>
      <c r="M1008" s="32" t="s">
        <v>1737</v>
      </c>
      <c r="N1008" s="32"/>
      <c r="O1008" s="32"/>
      <c r="P1008" s="32"/>
      <c r="Q1008" s="33"/>
      <c r="R1008" s="10">
        <f>LEN(M1008)</f>
        <v>9</v>
      </c>
      <c r="S1008" s="10">
        <f>MOD(R1008,2)*4+FLOOR(R1008/2,1)*6</f>
        <v>28</v>
      </c>
      <c r="T1008" s="12">
        <f>S1008+S1009</f>
        <v>64</v>
      </c>
    </row>
    <row r="1009" spans="1:20" ht="20" customHeight="1">
      <c r="A1009" s="22"/>
      <c r="B1009" s="6" t="str">
        <f>IF(H1009&lt;=12,"有效","无效")</f>
        <v>有效</v>
      </c>
      <c r="C1009" s="31" t="s">
        <v>1734</v>
      </c>
      <c r="D1009" s="32"/>
      <c r="E1009" s="32"/>
      <c r="F1009" s="32"/>
      <c r="G1009" s="33"/>
      <c r="H1009" s="4">
        <f>LEN(C1009)</f>
        <v>6</v>
      </c>
      <c r="I1009" s="11">
        <f>MOD(H1009,2)*4+FLOOR(H1009/2,1)*6</f>
        <v>18</v>
      </c>
      <c r="J1009" s="12" t="str">
        <f>IF(J1008&lt;I1007,"有效","无效")</f>
        <v>有效</v>
      </c>
      <c r="K1009" s="20"/>
      <c r="L1009" s="6" t="str">
        <f>IF(R1009&lt;=12,"有效","无效")</f>
        <v>有效</v>
      </c>
      <c r="M1009" s="31" t="s">
        <v>2357</v>
      </c>
      <c r="N1009" s="32"/>
      <c r="O1009" s="32"/>
      <c r="P1009" s="32"/>
      <c r="Q1009" s="33"/>
      <c r="R1009" s="10">
        <f>LEN(M1009)</f>
        <v>12</v>
      </c>
      <c r="S1009" s="10">
        <f>MOD(R1009,2)*4+FLOOR(R1009/2,1)*6</f>
        <v>36</v>
      </c>
      <c r="T1009" s="12" t="str">
        <f>IF(T1008&lt;I1007,"有效","无效")</f>
        <v>有效</v>
      </c>
    </row>
    <row r="1010" spans="1:20" ht="20" customHeight="1">
      <c r="A1010" s="22"/>
      <c r="B1010" s="6" t="str">
        <f>IF(H1010&lt;=12,"有效","无效")</f>
        <v>有效</v>
      </c>
      <c r="C1010" s="31" t="s">
        <v>1735</v>
      </c>
      <c r="D1010" s="32"/>
      <c r="E1010" s="32"/>
      <c r="F1010" s="32"/>
      <c r="G1010" s="33"/>
      <c r="H1010" s="4">
        <f>LEN(C1010)</f>
        <v>7</v>
      </c>
      <c r="I1010" s="11">
        <f>MOD(H1010,2)*4+FLOOR(H1010/2,1)*6</f>
        <v>22</v>
      </c>
      <c r="J1010" s="12">
        <f>I1010+I1011</f>
        <v>50</v>
      </c>
      <c r="K1010" s="20"/>
      <c r="L1010" s="6" t="str">
        <f>IF(R1010&lt;=12,"有效","无效")</f>
        <v>有效</v>
      </c>
      <c r="M1010" s="31" t="s">
        <v>2359</v>
      </c>
      <c r="N1010" s="32"/>
      <c r="O1010" s="32"/>
      <c r="P1010" s="32"/>
      <c r="Q1010" s="33"/>
      <c r="R1010" s="10">
        <f>LEN(M1010)</f>
        <v>4</v>
      </c>
      <c r="S1010" s="10">
        <f>MOD(R1010,2)*4+FLOOR(R1010/2,1)*6</f>
        <v>12</v>
      </c>
      <c r="T1010" s="12">
        <f>S1010+S1011</f>
        <v>28</v>
      </c>
    </row>
    <row r="1011" spans="1:20" ht="20" customHeight="1">
      <c r="A1011" s="22"/>
      <c r="B1011" s="6" t="str">
        <f>IF(H1011&lt;=12,"有效","无效")</f>
        <v>有效</v>
      </c>
      <c r="C1011" s="31" t="s">
        <v>1736</v>
      </c>
      <c r="D1011" s="32"/>
      <c r="E1011" s="32"/>
      <c r="F1011" s="32"/>
      <c r="G1011" s="33"/>
      <c r="H1011" s="4">
        <f>LEN(C1011)</f>
        <v>9</v>
      </c>
      <c r="I1011" s="11">
        <f>MOD(H1011,2)*4+FLOOR(H1011/2,1)*6</f>
        <v>28</v>
      </c>
      <c r="J1011" s="12" t="str">
        <f>IF(J1010&lt;I1007,"有效","无效")</f>
        <v>有效</v>
      </c>
      <c r="K1011" s="20"/>
      <c r="L1011" s="6" t="str">
        <f>IF(R1011&lt;=12,"有效","无效")</f>
        <v>有效</v>
      </c>
      <c r="M1011" s="31" t="s">
        <v>2358</v>
      </c>
      <c r="N1011" s="32"/>
      <c r="O1011" s="32"/>
      <c r="P1011" s="32"/>
      <c r="Q1011" s="33"/>
      <c r="R1011" s="10">
        <f>LEN(M1011)</f>
        <v>5</v>
      </c>
      <c r="S1011" s="10">
        <f>MOD(R1011,2)*4+FLOOR(R1011/2,1)*6</f>
        <v>16</v>
      </c>
      <c r="T1011" s="12" t="str">
        <f>IF(T1010&lt;I1007,"有效","无效")</f>
        <v>有效</v>
      </c>
    </row>
    <row r="1012" spans="1:20" ht="20" customHeight="1">
      <c r="A1012" s="22">
        <v>203</v>
      </c>
      <c r="B1012" s="23" t="s">
        <v>330</v>
      </c>
      <c r="C1012" s="24" t="s">
        <v>331</v>
      </c>
      <c r="D1012" s="14">
        <f>LEN($B1012)</f>
        <v>3</v>
      </c>
      <c r="E1012" s="14">
        <f>LEN(C1012)+3</f>
        <v>5</v>
      </c>
      <c r="F1012" s="14">
        <f>MOD(D1012,2)*4+FLOOR(D1012/2,1)*6</f>
        <v>10</v>
      </c>
      <c r="G1012" s="14">
        <f>MOD(E1012,2)*4+FLOOR(E1012/2,1)*6</f>
        <v>16</v>
      </c>
      <c r="H1012" s="14">
        <v>12</v>
      </c>
      <c r="I1012" s="14">
        <f>108-H1012-G1012-F1012</f>
        <v>70</v>
      </c>
    </row>
    <row r="1013" spans="1:20" ht="20" customHeight="1">
      <c r="A1013" s="22"/>
      <c r="B1013" s="6" t="str">
        <f>IF(H1013&lt;=12,"有效","无效")</f>
        <v>有效</v>
      </c>
      <c r="C1013" s="31" t="s">
        <v>1738</v>
      </c>
      <c r="D1013" s="32"/>
      <c r="E1013" s="32"/>
      <c r="F1013" s="32"/>
      <c r="G1013" s="33"/>
      <c r="H1013" s="4">
        <f>LEN(C1013)</f>
        <v>12</v>
      </c>
      <c r="I1013" s="11">
        <f>MOD(H1013,2)*4+FLOOR(H1013/2,1)*6</f>
        <v>36</v>
      </c>
      <c r="J1013" s="12">
        <f>I1013+I1014</f>
        <v>64</v>
      </c>
      <c r="K1013" s="20"/>
      <c r="L1013" s="13" t="str">
        <f>IF(R1013&lt;=12,"有效","无效")</f>
        <v>有效</v>
      </c>
      <c r="M1013" s="35" t="s">
        <v>2361</v>
      </c>
      <c r="N1013" s="35"/>
      <c r="O1013" s="35"/>
      <c r="P1013" s="35"/>
      <c r="Q1013" s="36"/>
      <c r="R1013" s="10">
        <f>LEN(M1013)</f>
        <v>6</v>
      </c>
      <c r="S1013" s="10">
        <f>MOD(R1013,2)*4+FLOOR(R1013/2,1)*6</f>
        <v>18</v>
      </c>
      <c r="T1013" s="12">
        <f>S1013+S1014</f>
        <v>36</v>
      </c>
    </row>
    <row r="1014" spans="1:20" ht="20" customHeight="1">
      <c r="A1014" s="22"/>
      <c r="B1014" s="6" t="str">
        <f>IF(H1014&lt;=12,"有效","无效")</f>
        <v>有效</v>
      </c>
      <c r="C1014" s="31" t="s">
        <v>1739</v>
      </c>
      <c r="D1014" s="32"/>
      <c r="E1014" s="32"/>
      <c r="F1014" s="32"/>
      <c r="G1014" s="33"/>
      <c r="H1014" s="4">
        <f>LEN(C1014)</f>
        <v>9</v>
      </c>
      <c r="I1014" s="11">
        <f>MOD(H1014,2)*4+FLOOR(H1014/2,1)*6</f>
        <v>28</v>
      </c>
      <c r="J1014" s="12" t="str">
        <f>IF(J1013&lt;I1012,"有效","无效")</f>
        <v>有效</v>
      </c>
      <c r="K1014" s="20"/>
      <c r="L1014" s="6" t="str">
        <f>IF(R1014&lt;=12,"有效","无效")</f>
        <v>有效</v>
      </c>
      <c r="M1014" s="34" t="s">
        <v>2362</v>
      </c>
      <c r="N1014" s="35"/>
      <c r="O1014" s="35"/>
      <c r="P1014" s="35"/>
      <c r="Q1014" s="36"/>
      <c r="R1014" s="10">
        <f>LEN(M1014)</f>
        <v>6</v>
      </c>
      <c r="S1014" s="10">
        <f>MOD(R1014,2)*4+FLOOR(R1014/2,1)*6</f>
        <v>18</v>
      </c>
      <c r="T1014" s="12" t="str">
        <f>IF(T1013&lt;I1012,"有效","无效")</f>
        <v>有效</v>
      </c>
    </row>
    <row r="1015" spans="1:20" ht="20" customHeight="1">
      <c r="A1015" s="22"/>
      <c r="B1015" s="6" t="str">
        <f>IF(H1015&lt;=12,"有效","无效")</f>
        <v>有效</v>
      </c>
      <c r="C1015" s="31" t="s">
        <v>1740</v>
      </c>
      <c r="D1015" s="32"/>
      <c r="E1015" s="32"/>
      <c r="F1015" s="32"/>
      <c r="G1015" s="33"/>
      <c r="H1015" s="4">
        <f>LEN(C1015)</f>
        <v>11</v>
      </c>
      <c r="I1015" s="11">
        <f>MOD(H1015,2)*4+FLOOR(H1015/2,1)*6</f>
        <v>34</v>
      </c>
      <c r="J1015" s="12">
        <f>I1015+I1016</f>
        <v>70</v>
      </c>
      <c r="K1015" s="20"/>
      <c r="L1015" s="6" t="str">
        <f>IF(R1015&lt;=12,"有效","无效")</f>
        <v>有效</v>
      </c>
      <c r="M1015" s="34" t="s">
        <v>2360</v>
      </c>
      <c r="N1015" s="35"/>
      <c r="O1015" s="35"/>
      <c r="P1015" s="35"/>
      <c r="Q1015" s="38"/>
      <c r="R1015" s="10">
        <f>LEN(M1015)</f>
        <v>10</v>
      </c>
      <c r="S1015" s="10">
        <f>MOD(R1015,2)*4+FLOOR(R1015/2,1)*6</f>
        <v>30</v>
      </c>
      <c r="T1015" s="12">
        <f>S1015+S1016</f>
        <v>58</v>
      </c>
    </row>
    <row r="1016" spans="1:20" ht="20" customHeight="1">
      <c r="A1016" s="22"/>
      <c r="B1016" s="6" t="str">
        <f>IF(H1016&lt;=12,"有效","无效")</f>
        <v>有效</v>
      </c>
      <c r="C1016" s="31" t="s">
        <v>1741</v>
      </c>
      <c r="D1016" s="32"/>
      <c r="E1016" s="32"/>
      <c r="F1016" s="32"/>
      <c r="G1016" s="33"/>
      <c r="H1016" s="4">
        <f>LEN(C1016)</f>
        <v>12</v>
      </c>
      <c r="I1016" s="11">
        <f>MOD(H1016,2)*4+FLOOR(H1016/2,1)*6</f>
        <v>36</v>
      </c>
      <c r="J1016" s="12" t="str">
        <f>IF(J1015&lt;=I1012,"有效","无效")</f>
        <v>有效</v>
      </c>
      <c r="K1016" s="20"/>
      <c r="L1016" s="6" t="str">
        <f>IF(R1016&lt;=12,"有效","无效")</f>
        <v>有效</v>
      </c>
      <c r="M1016" s="34" t="s">
        <v>1742</v>
      </c>
      <c r="N1016" s="35"/>
      <c r="O1016" s="35"/>
      <c r="P1016" s="35"/>
      <c r="Q1016" s="36"/>
      <c r="R1016" s="10">
        <f>LEN(M1016)</f>
        <v>9</v>
      </c>
      <c r="S1016" s="10">
        <f>MOD(R1016,2)*4+FLOOR(R1016/2,1)*6</f>
        <v>28</v>
      </c>
      <c r="T1016" s="12" t="str">
        <f>IF(T1015&lt;I1012,"有效","无效")</f>
        <v>有效</v>
      </c>
    </row>
    <row r="1017" spans="1:20" ht="20" customHeight="1">
      <c r="A1017" s="22">
        <v>204</v>
      </c>
      <c r="B1017" s="23" t="s">
        <v>332</v>
      </c>
      <c r="C1017" s="24" t="s">
        <v>333</v>
      </c>
      <c r="D1017" s="14">
        <f>LEN($B1017)</f>
        <v>3</v>
      </c>
      <c r="E1017" s="14">
        <f>LEN(C1017)+3</f>
        <v>6</v>
      </c>
      <c r="F1017" s="14">
        <f>MOD(D1017,2)*4+FLOOR(D1017/2,1)*6</f>
        <v>10</v>
      </c>
      <c r="G1017" s="14">
        <f>MOD(E1017,2)*4+FLOOR(E1017/2,1)*6</f>
        <v>18</v>
      </c>
      <c r="H1017" s="14">
        <v>12</v>
      </c>
      <c r="I1017" s="14">
        <f>108-H1017-G1017-F1017</f>
        <v>68</v>
      </c>
    </row>
    <row r="1018" spans="1:20" ht="20" customHeight="1">
      <c r="A1018" s="22"/>
      <c r="B1018" s="6" t="str">
        <f>IF(H1018&lt;=12,"有效","无效")</f>
        <v>有效</v>
      </c>
      <c r="C1018" s="31" t="s">
        <v>1743</v>
      </c>
      <c r="D1018" s="32"/>
      <c r="E1018" s="32"/>
      <c r="F1018" s="32"/>
      <c r="G1018" s="33"/>
      <c r="H1018" s="4">
        <f>LEN(C1018)</f>
        <v>7</v>
      </c>
      <c r="I1018" s="11">
        <f>MOD(H1018,2)*4+FLOOR(H1018/2,1)*6</f>
        <v>22</v>
      </c>
      <c r="J1018" s="12">
        <f>I1018+I1019</f>
        <v>50</v>
      </c>
      <c r="K1018" s="20"/>
      <c r="L1018" s="13" t="str">
        <f>IF(R1018&lt;=12,"有效","无效")</f>
        <v>有效</v>
      </c>
      <c r="M1018" s="35" t="s">
        <v>2397</v>
      </c>
      <c r="N1018" s="35"/>
      <c r="O1018" s="35"/>
      <c r="P1018" s="35"/>
      <c r="Q1018" s="36"/>
      <c r="R1018" s="10">
        <f>LEN(M1018)</f>
        <v>7</v>
      </c>
      <c r="S1018" s="10">
        <f>MOD(R1018,2)*4+FLOOR(R1018/2,1)*6</f>
        <v>22</v>
      </c>
      <c r="T1018" s="12">
        <f>S1018+S1019</f>
        <v>56</v>
      </c>
    </row>
    <row r="1019" spans="1:20" ht="20" customHeight="1">
      <c r="A1019" s="22"/>
      <c r="B1019" s="6" t="str">
        <f>IF(H1019&lt;=12,"有效","无效")</f>
        <v>有效</v>
      </c>
      <c r="C1019" s="31" t="s">
        <v>1744</v>
      </c>
      <c r="D1019" s="32"/>
      <c r="E1019" s="32"/>
      <c r="F1019" s="32"/>
      <c r="G1019" s="33"/>
      <c r="H1019" s="4">
        <f>LEN(C1019)</f>
        <v>9</v>
      </c>
      <c r="I1019" s="11">
        <f>MOD(H1019,2)*4+FLOOR(H1019/2,1)*6</f>
        <v>28</v>
      </c>
      <c r="J1019" s="12" t="str">
        <f>IF(J1018&lt;I1017,"有效","无效")</f>
        <v>有效</v>
      </c>
      <c r="K1019" s="20"/>
      <c r="L1019" s="6" t="str">
        <f>IF(R1019&lt;=12,"有效","无效")</f>
        <v>有效</v>
      </c>
      <c r="M1019" s="34" t="s">
        <v>2396</v>
      </c>
      <c r="N1019" s="35"/>
      <c r="O1019" s="35"/>
      <c r="P1019" s="35"/>
      <c r="Q1019" s="36"/>
      <c r="R1019" s="10">
        <f>LEN(M1019)</f>
        <v>11</v>
      </c>
      <c r="S1019" s="10">
        <f>MOD(R1019,2)*4+FLOOR(R1019/2,1)*6</f>
        <v>34</v>
      </c>
      <c r="T1019" s="12" t="str">
        <f>IF(T1018&lt;I1017,"有效","无效")</f>
        <v>有效</v>
      </c>
    </row>
    <row r="1020" spans="1:20" ht="20" customHeight="1">
      <c r="A1020" s="22"/>
      <c r="B1020" s="6" t="str">
        <f>IF(H1020&lt;=12,"有效","无效")</f>
        <v>有效</v>
      </c>
      <c r="C1020" s="31" t="s">
        <v>1745</v>
      </c>
      <c r="D1020" s="32"/>
      <c r="E1020" s="32"/>
      <c r="F1020" s="32"/>
      <c r="G1020" s="33"/>
      <c r="H1020" s="4">
        <f>LEN(C1020)</f>
        <v>5</v>
      </c>
      <c r="I1020" s="11">
        <f>MOD(H1020,2)*4+FLOOR(H1020/2,1)*6</f>
        <v>16</v>
      </c>
      <c r="J1020" s="12">
        <f>I1020+I1021</f>
        <v>34</v>
      </c>
      <c r="K1020" s="20"/>
      <c r="L1020" s="6" t="str">
        <f>IF(R1020&lt;=12,"有效","无效")</f>
        <v>有效</v>
      </c>
      <c r="M1020" s="34" t="s">
        <v>2364</v>
      </c>
      <c r="N1020" s="35"/>
      <c r="O1020" s="35"/>
      <c r="P1020" s="35"/>
      <c r="Q1020" s="36"/>
      <c r="R1020" s="10">
        <f>LEN(M1020)</f>
        <v>3</v>
      </c>
      <c r="S1020" s="10">
        <f>MOD(R1020,2)*4+FLOOR(R1020/2,1)*6</f>
        <v>10</v>
      </c>
      <c r="T1020" s="12">
        <f>S1020+S1021</f>
        <v>28</v>
      </c>
    </row>
    <row r="1021" spans="1:20" ht="20" customHeight="1">
      <c r="A1021" s="22"/>
      <c r="B1021" s="6" t="str">
        <f>IF(H1021&lt;=12,"有效","无效")</f>
        <v>有效</v>
      </c>
      <c r="C1021" s="31" t="s">
        <v>1746</v>
      </c>
      <c r="D1021" s="32"/>
      <c r="E1021" s="32"/>
      <c r="F1021" s="32"/>
      <c r="G1021" s="33"/>
      <c r="H1021" s="4">
        <f>LEN(C1021)</f>
        <v>6</v>
      </c>
      <c r="I1021" s="11">
        <f>MOD(H1021,2)*4+FLOOR(H1021/2,1)*6</f>
        <v>18</v>
      </c>
      <c r="J1021" s="12" t="str">
        <f>IF(J1020&lt;I1017,"有效","无效")</f>
        <v>有效</v>
      </c>
      <c r="K1021" s="20"/>
      <c r="L1021" s="6" t="str">
        <f>IF(R1021&lt;=12,"有效","无效")</f>
        <v>有效</v>
      </c>
      <c r="M1021" s="34" t="s">
        <v>2363</v>
      </c>
      <c r="N1021" s="35"/>
      <c r="O1021" s="35"/>
      <c r="P1021" s="35"/>
      <c r="Q1021" s="36"/>
      <c r="R1021" s="10">
        <f>LEN(M1021)</f>
        <v>6</v>
      </c>
      <c r="S1021" s="10">
        <f>MOD(R1021,2)*4+FLOOR(R1021/2,1)*6</f>
        <v>18</v>
      </c>
      <c r="T1021" s="12" t="str">
        <f>IF(T1020&lt;I1017,"有效","无效")</f>
        <v>有效</v>
      </c>
    </row>
    <row r="1022" spans="1:20" ht="20" customHeight="1">
      <c r="A1022" s="22">
        <v>205</v>
      </c>
      <c r="B1022" s="23" t="s">
        <v>334</v>
      </c>
      <c r="C1022" s="24" t="s">
        <v>333</v>
      </c>
      <c r="D1022" s="14">
        <f>LEN($B1022)</f>
        <v>4</v>
      </c>
      <c r="E1022" s="14">
        <f>LEN(C1022)+3</f>
        <v>6</v>
      </c>
      <c r="F1022" s="14">
        <f>MOD(D1022,2)*4+FLOOR(D1022/2,1)*6</f>
        <v>12</v>
      </c>
      <c r="G1022" s="14">
        <f>MOD(E1022,2)*4+FLOOR(E1022/2,1)*6</f>
        <v>18</v>
      </c>
      <c r="H1022" s="14">
        <v>12</v>
      </c>
      <c r="I1022" s="14">
        <f>108-H1022-G1022-F1022</f>
        <v>66</v>
      </c>
    </row>
    <row r="1023" spans="1:20" ht="20" customHeight="1">
      <c r="A1023" s="22"/>
      <c r="B1023" s="6" t="str">
        <f>IF(H1023&lt;=12,"有效","无效")</f>
        <v>有效</v>
      </c>
      <c r="C1023" s="31" t="s">
        <v>1747</v>
      </c>
      <c r="D1023" s="32"/>
      <c r="E1023" s="32"/>
      <c r="F1023" s="32"/>
      <c r="G1023" s="33"/>
      <c r="H1023" s="4">
        <f>LEN(C1023)</f>
        <v>5</v>
      </c>
      <c r="I1023" s="11">
        <f>MOD(H1023,2)*4+FLOOR(H1023/2,1)*6</f>
        <v>16</v>
      </c>
      <c r="J1023" s="12">
        <f>I1023+I1024</f>
        <v>44</v>
      </c>
      <c r="K1023" s="20"/>
      <c r="L1023" s="13" t="str">
        <f>IF(R1023&lt;=12,"有效","无效")</f>
        <v>有效</v>
      </c>
      <c r="M1023" s="32" t="s">
        <v>1751</v>
      </c>
      <c r="N1023" s="32"/>
      <c r="O1023" s="32"/>
      <c r="P1023" s="32"/>
      <c r="Q1023" s="33"/>
      <c r="R1023" s="10">
        <f>LEN(M1023)</f>
        <v>6</v>
      </c>
      <c r="S1023" s="10">
        <f>MOD(R1023,2)*4+FLOOR(R1023/2,1)*6</f>
        <v>18</v>
      </c>
      <c r="T1023" s="12">
        <f>S1023+S1024</f>
        <v>34</v>
      </c>
    </row>
    <row r="1024" spans="1:20" ht="20" customHeight="1">
      <c r="A1024" s="22"/>
      <c r="B1024" s="6" t="str">
        <f>IF(H1024&lt;=12,"有效","无效")</f>
        <v>有效</v>
      </c>
      <c r="C1024" s="31" t="s">
        <v>1748</v>
      </c>
      <c r="D1024" s="32"/>
      <c r="E1024" s="32"/>
      <c r="F1024" s="32"/>
      <c r="G1024" s="33"/>
      <c r="H1024" s="4">
        <f>LEN(C1024)</f>
        <v>9</v>
      </c>
      <c r="I1024" s="11">
        <f>MOD(H1024,2)*4+FLOOR(H1024/2,1)*6</f>
        <v>28</v>
      </c>
      <c r="J1024" s="12" t="str">
        <f>IF(J1023&lt;I1022,"有效","无效")</f>
        <v>有效</v>
      </c>
      <c r="K1024" s="20"/>
      <c r="L1024" s="6" t="str">
        <f>IF(R1024&lt;=12,"有效","无效")</f>
        <v>有效</v>
      </c>
      <c r="M1024" s="31" t="s">
        <v>1752</v>
      </c>
      <c r="N1024" s="32"/>
      <c r="O1024" s="32"/>
      <c r="P1024" s="32"/>
      <c r="Q1024" s="33"/>
      <c r="R1024" s="10">
        <f>LEN(M1024)</f>
        <v>5</v>
      </c>
      <c r="S1024" s="10">
        <f>MOD(R1024,2)*4+FLOOR(R1024/2,1)*6</f>
        <v>16</v>
      </c>
      <c r="T1024" s="12" t="str">
        <f>IF(T1023&lt;I1022,"有效","无效")</f>
        <v>有效</v>
      </c>
    </row>
    <row r="1025" spans="1:20" ht="20" customHeight="1">
      <c r="A1025" s="22"/>
      <c r="B1025" s="6" t="str">
        <f>IF(H1025&lt;=12,"有效","无效")</f>
        <v>有效</v>
      </c>
      <c r="C1025" s="31" t="s">
        <v>1749</v>
      </c>
      <c r="D1025" s="32"/>
      <c r="E1025" s="32"/>
      <c r="F1025" s="32"/>
      <c r="G1025" s="33"/>
      <c r="H1025" s="4">
        <f>LEN(C1025)</f>
        <v>6</v>
      </c>
      <c r="I1025" s="11">
        <f>MOD(H1025,2)*4+FLOOR(H1025/2,1)*6</f>
        <v>18</v>
      </c>
      <c r="J1025" s="12">
        <f>I1025+I1026</f>
        <v>34</v>
      </c>
      <c r="K1025" s="20"/>
      <c r="L1025" s="6" t="str">
        <f>IF(R1025&lt;=12,"有效","无效")</f>
        <v>有效</v>
      </c>
      <c r="M1025" s="31" t="s">
        <v>1753</v>
      </c>
      <c r="N1025" s="32"/>
      <c r="O1025" s="32"/>
      <c r="P1025" s="32"/>
      <c r="Q1025" s="33"/>
      <c r="R1025" s="10">
        <f>LEN(M1025)</f>
        <v>10</v>
      </c>
      <c r="S1025" s="10">
        <f>MOD(R1025,2)*4+FLOOR(R1025/2,1)*6</f>
        <v>30</v>
      </c>
      <c r="T1025" s="12">
        <f>S1025+S1026</f>
        <v>48</v>
      </c>
    </row>
    <row r="1026" spans="1:20" ht="20" customHeight="1">
      <c r="A1026" s="22"/>
      <c r="B1026" s="6" t="str">
        <f>IF(H1026&lt;=12,"有效","无效")</f>
        <v>有效</v>
      </c>
      <c r="C1026" s="31" t="s">
        <v>1750</v>
      </c>
      <c r="D1026" s="32"/>
      <c r="E1026" s="32"/>
      <c r="F1026" s="32"/>
      <c r="G1026" s="33"/>
      <c r="H1026" s="4">
        <f>LEN(C1026)</f>
        <v>5</v>
      </c>
      <c r="I1026" s="11">
        <f>MOD(H1026,2)*4+FLOOR(H1026/2,1)*6</f>
        <v>16</v>
      </c>
      <c r="J1026" s="12" t="str">
        <f>IF(J1025&lt;I1022,"有效","无效")</f>
        <v>有效</v>
      </c>
      <c r="K1026" s="20"/>
      <c r="L1026" s="6" t="str">
        <f>IF(R1026&lt;=12,"有效","无效")</f>
        <v>有效</v>
      </c>
      <c r="M1026" s="31" t="s">
        <v>1754</v>
      </c>
      <c r="N1026" s="32"/>
      <c r="O1026" s="32"/>
      <c r="P1026" s="32"/>
      <c r="Q1026" s="33"/>
      <c r="R1026" s="10">
        <f>LEN(M1026)</f>
        <v>6</v>
      </c>
      <c r="S1026" s="10">
        <f>MOD(R1026,2)*4+FLOOR(R1026/2,1)*6</f>
        <v>18</v>
      </c>
      <c r="T1026" s="12" t="str">
        <f>IF(T1025&lt;I1022,"有效","无效")</f>
        <v>有效</v>
      </c>
    </row>
    <row r="1027" spans="1:20" ht="20" customHeight="1">
      <c r="A1027" s="22">
        <v>206</v>
      </c>
      <c r="B1027" s="23" t="s">
        <v>335</v>
      </c>
      <c r="C1027" s="24" t="s">
        <v>336</v>
      </c>
      <c r="D1027" s="14">
        <f>LEN($B1027)</f>
        <v>4</v>
      </c>
      <c r="E1027" s="14">
        <f>LEN(C1027)+3</f>
        <v>5</v>
      </c>
      <c r="F1027" s="14">
        <f>MOD(D1027,2)*4+FLOOR(D1027/2,1)*6</f>
        <v>12</v>
      </c>
      <c r="G1027" s="14">
        <f>MOD(E1027,2)*4+FLOOR(E1027/2,1)*6</f>
        <v>16</v>
      </c>
      <c r="H1027" s="14">
        <v>12</v>
      </c>
      <c r="I1027" s="14">
        <f>108-H1027-G1027-F1027</f>
        <v>68</v>
      </c>
    </row>
    <row r="1028" spans="1:20" ht="20" customHeight="1">
      <c r="A1028" s="22"/>
      <c r="B1028" s="6" t="str">
        <f>IF(H1028&lt;=12,"有效","无效")</f>
        <v>有效</v>
      </c>
      <c r="C1028" s="31" t="s">
        <v>2210</v>
      </c>
      <c r="D1028" s="32"/>
      <c r="E1028" s="32"/>
      <c r="F1028" s="32"/>
      <c r="G1028" s="33"/>
      <c r="H1028" s="4">
        <f>LEN(C1028)</f>
        <v>2</v>
      </c>
      <c r="I1028" s="11">
        <f>MOD(H1028,2)*4+FLOOR(H1028/2,1)*6</f>
        <v>6</v>
      </c>
      <c r="J1028" s="12">
        <f>I1028+I1029</f>
        <v>22</v>
      </c>
      <c r="K1028" s="20"/>
      <c r="L1028" s="13" t="str">
        <f>IF(R1028&lt;=12,"有效","无效")</f>
        <v>有效</v>
      </c>
      <c r="M1028" s="32" t="s">
        <v>1756</v>
      </c>
      <c r="N1028" s="32"/>
      <c r="O1028" s="32"/>
      <c r="P1028" s="32"/>
      <c r="Q1028" s="33"/>
      <c r="R1028" s="10">
        <f>LEN(M1028)</f>
        <v>7</v>
      </c>
      <c r="S1028" s="10">
        <f>MOD(R1028,2)*4+FLOOR(R1028/2,1)*6</f>
        <v>22</v>
      </c>
      <c r="T1028" s="12">
        <f>S1028+S1029</f>
        <v>38</v>
      </c>
    </row>
    <row r="1029" spans="1:20" ht="20" customHeight="1">
      <c r="A1029" s="22"/>
      <c r="B1029" s="6" t="str">
        <f>IF(H1029&lt;=12,"有效","无效")</f>
        <v>有效</v>
      </c>
      <c r="C1029" s="31" t="s">
        <v>2211</v>
      </c>
      <c r="D1029" s="32"/>
      <c r="E1029" s="32"/>
      <c r="F1029" s="32"/>
      <c r="G1029" s="33"/>
      <c r="H1029" s="4">
        <f>LEN(C1029)</f>
        <v>5</v>
      </c>
      <c r="I1029" s="11">
        <f>MOD(H1029,2)*4+FLOOR(H1029/2,1)*6</f>
        <v>16</v>
      </c>
      <c r="J1029" s="12" t="str">
        <f>IF(J1028&lt;I1027,"有效","无效")</f>
        <v>有效</v>
      </c>
      <c r="K1029" s="20"/>
      <c r="L1029" s="6" t="str">
        <f>IF(R1029&lt;=12,"有效","无效")</f>
        <v>有效</v>
      </c>
      <c r="M1029" s="31" t="s">
        <v>1757</v>
      </c>
      <c r="N1029" s="32"/>
      <c r="O1029" s="32"/>
      <c r="P1029" s="32"/>
      <c r="Q1029" s="33"/>
      <c r="R1029" s="10">
        <f>LEN(M1029)</f>
        <v>5</v>
      </c>
      <c r="S1029" s="10">
        <f>MOD(R1029,2)*4+FLOOR(R1029/2,1)*6</f>
        <v>16</v>
      </c>
      <c r="T1029" s="12" t="str">
        <f>IF(T1028&lt;I1027,"有效","无效")</f>
        <v>有效</v>
      </c>
    </row>
    <row r="1030" spans="1:20" ht="20" customHeight="1">
      <c r="A1030" s="22"/>
      <c r="B1030" s="6" t="str">
        <f>IF(H1030&lt;=12,"有效","无效")</f>
        <v>有效</v>
      </c>
      <c r="C1030" s="31" t="s">
        <v>2209</v>
      </c>
      <c r="D1030" s="32"/>
      <c r="E1030" s="32"/>
      <c r="F1030" s="32"/>
      <c r="G1030" s="33"/>
      <c r="H1030" s="4">
        <f>LEN(C1030)</f>
        <v>10</v>
      </c>
      <c r="I1030" s="11">
        <f>MOD(H1030,2)*4+FLOOR(H1030/2,1)*6</f>
        <v>30</v>
      </c>
      <c r="J1030" s="12">
        <f>I1030+I1031</f>
        <v>46</v>
      </c>
      <c r="K1030" s="20"/>
      <c r="L1030" s="6" t="str">
        <f>IF(R1030&lt;=12,"有效","无效")</f>
        <v>有效</v>
      </c>
      <c r="M1030" s="31" t="s">
        <v>1758</v>
      </c>
      <c r="N1030" s="32"/>
      <c r="O1030" s="32"/>
      <c r="P1030" s="32"/>
      <c r="Q1030" s="33"/>
      <c r="R1030" s="10">
        <f>LEN(M1030)</f>
        <v>10</v>
      </c>
      <c r="S1030" s="10">
        <f>MOD(R1030,2)*4+FLOOR(R1030/2,1)*6</f>
        <v>30</v>
      </c>
      <c r="T1030" s="12">
        <f>S1030+S1031</f>
        <v>64</v>
      </c>
    </row>
    <row r="1031" spans="1:20" ht="20" customHeight="1">
      <c r="A1031" s="22"/>
      <c r="B1031" s="6" t="str">
        <f>IF(H1031&lt;=12,"有效","无效")</f>
        <v>有效</v>
      </c>
      <c r="C1031" s="31" t="s">
        <v>1755</v>
      </c>
      <c r="D1031" s="32"/>
      <c r="E1031" s="32"/>
      <c r="F1031" s="32"/>
      <c r="G1031" s="33"/>
      <c r="H1031" s="4">
        <f>LEN(C1031)</f>
        <v>5</v>
      </c>
      <c r="I1031" s="11">
        <f>MOD(H1031,2)*4+FLOOR(H1031/2,1)*6</f>
        <v>16</v>
      </c>
      <c r="J1031" s="12" t="str">
        <f>IF(J1030&lt;I1027,"有效","无效")</f>
        <v>有效</v>
      </c>
      <c r="K1031" s="20"/>
      <c r="L1031" s="6" t="str">
        <f>IF(R1031&lt;=12,"有效","无效")</f>
        <v>有效</v>
      </c>
      <c r="M1031" s="31" t="s">
        <v>1759</v>
      </c>
      <c r="N1031" s="32"/>
      <c r="O1031" s="32"/>
      <c r="P1031" s="32"/>
      <c r="Q1031" s="33"/>
      <c r="R1031" s="10">
        <f>LEN(M1031)</f>
        <v>11</v>
      </c>
      <c r="S1031" s="10">
        <f>MOD(R1031,2)*4+FLOOR(R1031/2,1)*6</f>
        <v>34</v>
      </c>
      <c r="T1031" s="12" t="str">
        <f>IF(T1030&lt;I1027,"有效","无效")</f>
        <v>有效</v>
      </c>
    </row>
    <row r="1032" spans="1:20" ht="20" customHeight="1">
      <c r="A1032" s="22">
        <v>207</v>
      </c>
      <c r="B1032" s="23" t="s">
        <v>337</v>
      </c>
      <c r="C1032" s="24" t="s">
        <v>338</v>
      </c>
      <c r="D1032" s="14">
        <f>LEN($B1032)</f>
        <v>2</v>
      </c>
      <c r="E1032" s="14">
        <f>LEN(C1032)+3</f>
        <v>5</v>
      </c>
      <c r="F1032" s="14">
        <f>MOD(D1032,2)*4+FLOOR(D1032/2,1)*6</f>
        <v>6</v>
      </c>
      <c r="G1032" s="14">
        <f>MOD(E1032,2)*4+FLOOR(E1032/2,1)*6</f>
        <v>16</v>
      </c>
      <c r="H1032" s="14">
        <v>12</v>
      </c>
      <c r="I1032" s="14">
        <f>108-H1032-G1032-F1032</f>
        <v>74</v>
      </c>
    </row>
    <row r="1033" spans="1:20" ht="20" customHeight="1">
      <c r="A1033" s="22"/>
      <c r="B1033" s="6" t="str">
        <f>IF(H1033&lt;=12,"有效","无效")</f>
        <v>有效</v>
      </c>
      <c r="C1033" s="31" t="s">
        <v>2214</v>
      </c>
      <c r="D1033" s="32"/>
      <c r="E1033" s="32"/>
      <c r="F1033" s="32"/>
      <c r="G1033" s="33"/>
      <c r="H1033" s="4">
        <f>LEN(C1033)</f>
        <v>3</v>
      </c>
      <c r="I1033" s="11">
        <f>MOD(H1033,2)*4+FLOOR(H1033/2,1)*6</f>
        <v>10</v>
      </c>
      <c r="J1033" s="12">
        <f>I1033+I1034</f>
        <v>20</v>
      </c>
      <c r="K1033" s="20"/>
      <c r="L1033" s="13" t="str">
        <f>IF(R1033&lt;=12,"有效","无效")</f>
        <v>有效</v>
      </c>
      <c r="M1033" s="32" t="s">
        <v>1760</v>
      </c>
      <c r="N1033" s="32"/>
      <c r="O1033" s="32"/>
      <c r="P1033" s="32"/>
      <c r="Q1033" s="33"/>
      <c r="R1033" s="10">
        <f>LEN(M1033)</f>
        <v>9</v>
      </c>
      <c r="S1033" s="10">
        <f>MOD(R1033,2)*4+FLOOR(R1033/2,1)*6</f>
        <v>28</v>
      </c>
      <c r="T1033" s="12">
        <f>S1033+S1034</f>
        <v>46</v>
      </c>
    </row>
    <row r="1034" spans="1:20" ht="20" customHeight="1">
      <c r="A1034" s="22"/>
      <c r="B1034" s="6" t="str">
        <f>IF(H1034&lt;=12,"有效","无效")</f>
        <v>有效</v>
      </c>
      <c r="C1034" s="31" t="s">
        <v>2215</v>
      </c>
      <c r="D1034" s="32"/>
      <c r="E1034" s="32"/>
      <c r="F1034" s="32"/>
      <c r="G1034" s="33"/>
      <c r="H1034" s="4">
        <f>LEN(C1034)</f>
        <v>3</v>
      </c>
      <c r="I1034" s="11">
        <f>MOD(H1034,2)*4+FLOOR(H1034/2,1)*6</f>
        <v>10</v>
      </c>
      <c r="J1034" s="12" t="str">
        <f>IF(J1033&lt;I1032,"有效","无效")</f>
        <v>有效</v>
      </c>
      <c r="K1034" s="20"/>
      <c r="L1034" s="6" t="str">
        <f>IF(R1034&lt;=12,"有效","无效")</f>
        <v>有效</v>
      </c>
      <c r="M1034" s="31" t="s">
        <v>1761</v>
      </c>
      <c r="N1034" s="32"/>
      <c r="O1034" s="32"/>
      <c r="P1034" s="32"/>
      <c r="Q1034" s="33"/>
      <c r="R1034" s="10">
        <f>LEN(M1034)</f>
        <v>6</v>
      </c>
      <c r="S1034" s="10">
        <f>MOD(R1034,2)*4+FLOOR(R1034/2,1)*6</f>
        <v>18</v>
      </c>
      <c r="T1034" s="12" t="str">
        <f>IF(T1033&lt;I1032,"有效","无效")</f>
        <v>有效</v>
      </c>
    </row>
    <row r="1035" spans="1:20" ht="20" customHeight="1">
      <c r="A1035" s="22"/>
      <c r="B1035" s="6" t="str">
        <f>IF(H1035&lt;=12,"有效","无效")</f>
        <v>有效</v>
      </c>
      <c r="C1035" s="31" t="s">
        <v>2212</v>
      </c>
      <c r="D1035" s="32"/>
      <c r="E1035" s="32"/>
      <c r="F1035" s="32"/>
      <c r="G1035" s="33"/>
      <c r="H1035" s="4">
        <f>LEN(C1035)</f>
        <v>10</v>
      </c>
      <c r="I1035" s="11">
        <f>MOD(H1035,2)*4+FLOOR(H1035/2,1)*6</f>
        <v>30</v>
      </c>
      <c r="J1035" s="12">
        <f>I1035+I1036</f>
        <v>60</v>
      </c>
      <c r="K1035" s="20"/>
      <c r="L1035" s="6" t="str">
        <f>IF(R1035&lt;=12,"有效","无效")</f>
        <v>有效</v>
      </c>
      <c r="M1035" s="31" t="s">
        <v>1762</v>
      </c>
      <c r="N1035" s="32"/>
      <c r="O1035" s="32"/>
      <c r="P1035" s="32"/>
      <c r="Q1035" s="33"/>
      <c r="R1035" s="10">
        <f>LEN(M1035)</f>
        <v>6</v>
      </c>
      <c r="S1035" s="10">
        <f>MOD(R1035,2)*4+FLOOR(R1035/2,1)*6</f>
        <v>18</v>
      </c>
      <c r="T1035" s="12">
        <f>S1035+S1036</f>
        <v>40</v>
      </c>
    </row>
    <row r="1036" spans="1:20" ht="20" customHeight="1">
      <c r="A1036" s="22"/>
      <c r="B1036" s="6" t="str">
        <f>IF(H1036&lt;=12,"有效","无效")</f>
        <v>有效</v>
      </c>
      <c r="C1036" s="31" t="s">
        <v>2213</v>
      </c>
      <c r="D1036" s="32"/>
      <c r="E1036" s="32"/>
      <c r="F1036" s="32"/>
      <c r="G1036" s="33"/>
      <c r="H1036" s="4">
        <f>LEN(C1036)</f>
        <v>10</v>
      </c>
      <c r="I1036" s="11">
        <f>MOD(H1036,2)*4+FLOOR(H1036/2,1)*6</f>
        <v>30</v>
      </c>
      <c r="J1036" s="12" t="str">
        <f>IF(J1035&lt;I1032,"有效","无效")</f>
        <v>有效</v>
      </c>
      <c r="K1036" s="20"/>
      <c r="L1036" s="6" t="str">
        <f>IF(R1036&lt;=12,"有效","无效")</f>
        <v>有效</v>
      </c>
      <c r="M1036" s="31" t="s">
        <v>1763</v>
      </c>
      <c r="N1036" s="32"/>
      <c r="O1036" s="32"/>
      <c r="P1036" s="32"/>
      <c r="Q1036" s="33"/>
      <c r="R1036" s="10">
        <f>LEN(M1036)</f>
        <v>7</v>
      </c>
      <c r="S1036" s="10">
        <f>MOD(R1036,2)*4+FLOOR(R1036/2,1)*6</f>
        <v>22</v>
      </c>
      <c r="T1036" s="12" t="str">
        <f>IF(T1035&lt;I1032,"有效","无效")</f>
        <v>有效</v>
      </c>
    </row>
    <row r="1037" spans="1:20" ht="20" customHeight="1">
      <c r="A1037" s="22">
        <v>208</v>
      </c>
      <c r="B1037" s="23" t="s">
        <v>339</v>
      </c>
      <c r="C1037" s="24" t="s">
        <v>340</v>
      </c>
      <c r="D1037" s="14">
        <f>LEN($B1037)</f>
        <v>3</v>
      </c>
      <c r="E1037" s="14">
        <f>LEN(C1037)+3</f>
        <v>5</v>
      </c>
      <c r="F1037" s="14">
        <f>MOD(D1037,2)*4+FLOOR(D1037/2,1)*6</f>
        <v>10</v>
      </c>
      <c r="G1037" s="14">
        <f>MOD(E1037,2)*4+FLOOR(E1037/2,1)*6</f>
        <v>16</v>
      </c>
      <c r="H1037" s="14">
        <v>12</v>
      </c>
      <c r="I1037" s="14">
        <f>108-H1037-G1037-F1037</f>
        <v>70</v>
      </c>
    </row>
    <row r="1038" spans="1:20" ht="20" customHeight="1">
      <c r="A1038" s="22"/>
      <c r="B1038" s="6" t="str">
        <f>IF(H1038&lt;=12,"有效","无效")</f>
        <v>有效</v>
      </c>
      <c r="C1038" s="34" t="s">
        <v>2216</v>
      </c>
      <c r="D1038" s="35"/>
      <c r="E1038" s="35"/>
      <c r="F1038" s="35"/>
      <c r="G1038" s="36"/>
      <c r="H1038" s="4">
        <f>LEN(C1038)</f>
        <v>8</v>
      </c>
      <c r="I1038" s="11">
        <f>MOD(H1038,2)*4+FLOOR(H1038/2,1)*6</f>
        <v>24</v>
      </c>
      <c r="J1038" s="12">
        <f>I1038+I1039</f>
        <v>46</v>
      </c>
      <c r="K1038" s="20"/>
      <c r="L1038" s="13" t="str">
        <f>IF(R1038&lt;=12,"有效","无效")</f>
        <v>有效</v>
      </c>
      <c r="M1038" s="32" t="s">
        <v>1765</v>
      </c>
      <c r="N1038" s="32"/>
      <c r="O1038" s="32"/>
      <c r="P1038" s="32"/>
      <c r="Q1038" s="33"/>
      <c r="R1038" s="10">
        <f>LEN(M1038)</f>
        <v>6</v>
      </c>
      <c r="S1038" s="10">
        <f>MOD(R1038,2)*4+FLOOR(R1038/2,1)*6</f>
        <v>18</v>
      </c>
      <c r="T1038" s="12">
        <f>S1038+S1039</f>
        <v>48</v>
      </c>
    </row>
    <row r="1039" spans="1:20" ht="20" customHeight="1">
      <c r="A1039" s="22"/>
      <c r="B1039" s="6" t="str">
        <f>IF(H1039&lt;=12,"有效","无效")</f>
        <v>有效</v>
      </c>
      <c r="C1039" s="34" t="s">
        <v>1764</v>
      </c>
      <c r="D1039" s="35"/>
      <c r="E1039" s="35"/>
      <c r="F1039" s="35"/>
      <c r="G1039" s="36"/>
      <c r="H1039" s="4">
        <f>LEN(C1039)</f>
        <v>7</v>
      </c>
      <c r="I1039" s="11">
        <f>MOD(H1039,2)*4+FLOOR(H1039/2,1)*6</f>
        <v>22</v>
      </c>
      <c r="J1039" s="12" t="str">
        <f>IF(J1038&lt;I1037,"有效","无效")</f>
        <v>有效</v>
      </c>
      <c r="K1039" s="20"/>
      <c r="L1039" s="6" t="str">
        <f>IF(R1039&lt;=12,"有效","无效")</f>
        <v>有效</v>
      </c>
      <c r="M1039" s="31" t="s">
        <v>1766</v>
      </c>
      <c r="N1039" s="32"/>
      <c r="O1039" s="32"/>
      <c r="P1039" s="32"/>
      <c r="Q1039" s="33"/>
      <c r="R1039" s="10">
        <f>LEN(M1039)</f>
        <v>10</v>
      </c>
      <c r="S1039" s="10">
        <f>MOD(R1039,2)*4+FLOOR(R1039/2,1)*6</f>
        <v>30</v>
      </c>
      <c r="T1039" s="12" t="str">
        <f>IF(T1038&lt;I1037,"有效","无效")</f>
        <v>有效</v>
      </c>
    </row>
    <row r="1040" spans="1:20" ht="20" customHeight="1">
      <c r="A1040" s="22"/>
      <c r="B1040" s="6" t="str">
        <f>IF(H1040&lt;=12,"有效","无效")</f>
        <v>有效</v>
      </c>
      <c r="C1040" s="34" t="s">
        <v>2218</v>
      </c>
      <c r="D1040" s="35"/>
      <c r="E1040" s="35"/>
      <c r="F1040" s="35"/>
      <c r="G1040" s="36"/>
      <c r="H1040" s="4">
        <f>LEN(C1040)</f>
        <v>3</v>
      </c>
      <c r="I1040" s="11">
        <f>MOD(H1040,2)*4+FLOOR(H1040/2,1)*6</f>
        <v>10</v>
      </c>
      <c r="J1040" s="12">
        <f>I1040+I1041</f>
        <v>26</v>
      </c>
      <c r="K1040" s="20"/>
      <c r="L1040" s="6" t="str">
        <f>IF(R1040&lt;=12,"有效","无效")</f>
        <v>有效</v>
      </c>
      <c r="M1040" s="31" t="s">
        <v>1767</v>
      </c>
      <c r="N1040" s="32"/>
      <c r="O1040" s="32"/>
      <c r="P1040" s="32"/>
      <c r="Q1040" s="33"/>
      <c r="R1040" s="10">
        <f>LEN(M1040)</f>
        <v>7</v>
      </c>
      <c r="S1040" s="10">
        <f>MOD(R1040,2)*4+FLOOR(R1040/2,1)*6</f>
        <v>22</v>
      </c>
      <c r="T1040" s="12">
        <f>S1040+S1041</f>
        <v>50</v>
      </c>
    </row>
    <row r="1041" spans="1:20" ht="20" customHeight="1">
      <c r="A1041" s="22"/>
      <c r="B1041" s="6" t="str">
        <f>IF(H1041&lt;=12,"有效","无效")</f>
        <v>有效</v>
      </c>
      <c r="C1041" s="34" t="s">
        <v>2217</v>
      </c>
      <c r="D1041" s="35"/>
      <c r="E1041" s="35"/>
      <c r="F1041" s="35"/>
      <c r="G1041" s="36"/>
      <c r="H1041" s="4">
        <f>LEN(C1041)</f>
        <v>5</v>
      </c>
      <c r="I1041" s="11">
        <f>MOD(H1041,2)*4+FLOOR(H1041/2,1)*6</f>
        <v>16</v>
      </c>
      <c r="J1041" s="12" t="str">
        <f>IF(J1040&lt;I1037,"有效","无效")</f>
        <v>有效</v>
      </c>
      <c r="K1041" s="20"/>
      <c r="L1041" s="6" t="str">
        <f>IF(R1041&lt;=12,"有效","无效")</f>
        <v>有效</v>
      </c>
      <c r="M1041" s="31" t="s">
        <v>1768</v>
      </c>
      <c r="N1041" s="32"/>
      <c r="O1041" s="32"/>
      <c r="P1041" s="32"/>
      <c r="Q1041" s="33"/>
      <c r="R1041" s="10">
        <f>LEN(M1041)</f>
        <v>9</v>
      </c>
      <c r="S1041" s="10">
        <f>MOD(R1041,2)*4+FLOOR(R1041/2,1)*6</f>
        <v>28</v>
      </c>
      <c r="T1041" s="12" t="str">
        <f>IF(T1040&lt;I1037,"有效","无效")</f>
        <v>有效</v>
      </c>
    </row>
    <row r="1042" spans="1:20" ht="20" customHeight="1">
      <c r="A1042" s="22">
        <v>209</v>
      </c>
      <c r="B1042" s="23" t="s">
        <v>341</v>
      </c>
      <c r="C1042" s="24" t="s">
        <v>54</v>
      </c>
      <c r="D1042" s="14">
        <f>LEN($B1042)</f>
        <v>2</v>
      </c>
      <c r="E1042" s="14">
        <f>LEN(C1042)+3</f>
        <v>5</v>
      </c>
      <c r="F1042" s="14">
        <f>MOD(D1042,2)*4+FLOOR(D1042/2,1)*6</f>
        <v>6</v>
      </c>
      <c r="G1042" s="14">
        <f>MOD(E1042,2)*4+FLOOR(E1042/2,1)*6</f>
        <v>16</v>
      </c>
      <c r="H1042" s="14">
        <v>12</v>
      </c>
      <c r="I1042" s="14">
        <f>108-H1042-G1042-F1042</f>
        <v>74</v>
      </c>
    </row>
    <row r="1043" spans="1:20" ht="20" customHeight="1">
      <c r="A1043" s="22"/>
      <c r="B1043" s="6" t="str">
        <f>IF(H1043&lt;=12,"有效","无效")</f>
        <v>有效</v>
      </c>
      <c r="C1043" s="34" t="s">
        <v>1769</v>
      </c>
      <c r="D1043" s="35"/>
      <c r="E1043" s="35"/>
      <c r="F1043" s="35"/>
      <c r="G1043" s="36"/>
      <c r="H1043" s="4">
        <f>LEN(C1043)</f>
        <v>7</v>
      </c>
      <c r="I1043" s="11">
        <f>MOD(H1043,2)*4+FLOOR(H1043/2,1)*6</f>
        <v>22</v>
      </c>
      <c r="J1043" s="12">
        <f>I1043+I1044</f>
        <v>50</v>
      </c>
      <c r="K1043" s="20"/>
      <c r="L1043" s="13" t="str">
        <f>IF(R1043&lt;=12,"有效","无效")</f>
        <v>有效</v>
      </c>
      <c r="M1043" s="32" t="s">
        <v>1773</v>
      </c>
      <c r="N1043" s="32"/>
      <c r="O1043" s="32"/>
      <c r="P1043" s="32"/>
      <c r="Q1043" s="33"/>
      <c r="R1043" s="10">
        <f>LEN(M1043)</f>
        <v>7</v>
      </c>
      <c r="S1043" s="10">
        <f>MOD(R1043,2)*4+FLOOR(R1043/2,1)*6</f>
        <v>22</v>
      </c>
      <c r="T1043" s="12">
        <f>S1043+S1044</f>
        <v>44</v>
      </c>
    </row>
    <row r="1044" spans="1:20" ht="20" customHeight="1">
      <c r="A1044" s="22"/>
      <c r="B1044" s="6" t="str">
        <f>IF(H1044&lt;=12,"有效","无效")</f>
        <v>有效</v>
      </c>
      <c r="C1044" s="34" t="s">
        <v>1770</v>
      </c>
      <c r="D1044" s="35"/>
      <c r="E1044" s="35"/>
      <c r="F1044" s="35"/>
      <c r="G1044" s="36"/>
      <c r="H1044" s="4">
        <f>LEN(C1044)</f>
        <v>9</v>
      </c>
      <c r="I1044" s="11">
        <f>MOD(H1044,2)*4+FLOOR(H1044/2,1)*6</f>
        <v>28</v>
      </c>
      <c r="J1044" s="12" t="str">
        <f>IF(J1043&lt;I1042,"有效","无效")</f>
        <v>有效</v>
      </c>
      <c r="K1044" s="20"/>
      <c r="L1044" s="6" t="str">
        <f>IF(R1044&lt;=12,"有效","无效")</f>
        <v>有效</v>
      </c>
      <c r="M1044" s="31" t="s">
        <v>1774</v>
      </c>
      <c r="N1044" s="32"/>
      <c r="O1044" s="32"/>
      <c r="P1044" s="32"/>
      <c r="Q1044" s="33"/>
      <c r="R1044" s="10">
        <f>LEN(M1044)</f>
        <v>7</v>
      </c>
      <c r="S1044" s="10">
        <f>MOD(R1044,2)*4+FLOOR(R1044/2,1)*6</f>
        <v>22</v>
      </c>
      <c r="T1044" s="12" t="str">
        <f>IF(T1043&lt;I1042,"有效","无效")</f>
        <v>有效</v>
      </c>
    </row>
    <row r="1045" spans="1:20" ht="20" customHeight="1">
      <c r="A1045" s="22"/>
      <c r="B1045" s="6" t="str">
        <f>IF(H1045&lt;=12,"有效","无效")</f>
        <v>有效</v>
      </c>
      <c r="C1045" s="34" t="s">
        <v>1771</v>
      </c>
      <c r="D1045" s="35"/>
      <c r="E1045" s="35"/>
      <c r="F1045" s="35"/>
      <c r="G1045" s="36"/>
      <c r="H1045" s="4">
        <f>LEN(C1045)</f>
        <v>8</v>
      </c>
      <c r="I1045" s="11">
        <f>MOD(H1045,2)*4+FLOOR(H1045/2,1)*6</f>
        <v>24</v>
      </c>
      <c r="J1045" s="12">
        <f>I1045+I1046</f>
        <v>48</v>
      </c>
      <c r="K1045" s="20"/>
      <c r="L1045" s="6" t="str">
        <f>IF(R1045&lt;=12,"有效","无效")</f>
        <v>有效</v>
      </c>
      <c r="M1045" s="31" t="s">
        <v>1775</v>
      </c>
      <c r="N1045" s="32"/>
      <c r="O1045" s="32"/>
      <c r="P1045" s="32"/>
      <c r="Q1045" s="33"/>
      <c r="R1045" s="10">
        <f>LEN(M1045)</f>
        <v>8</v>
      </c>
      <c r="S1045" s="10">
        <f>MOD(R1045,2)*4+FLOOR(R1045/2,1)*6</f>
        <v>24</v>
      </c>
      <c r="T1045" s="12">
        <f>S1045+S1046</f>
        <v>48</v>
      </c>
    </row>
    <row r="1046" spans="1:20" ht="20" customHeight="1">
      <c r="A1046" s="22"/>
      <c r="B1046" s="6" t="str">
        <f>IF(H1046&lt;=12,"有效","无效")</f>
        <v>有效</v>
      </c>
      <c r="C1046" s="34" t="s">
        <v>1772</v>
      </c>
      <c r="D1046" s="35"/>
      <c r="E1046" s="35"/>
      <c r="F1046" s="35"/>
      <c r="G1046" s="36"/>
      <c r="H1046" s="4">
        <f>LEN(C1046)</f>
        <v>8</v>
      </c>
      <c r="I1046" s="11">
        <f>MOD(H1046,2)*4+FLOOR(H1046/2,1)*6</f>
        <v>24</v>
      </c>
      <c r="J1046" s="12" t="str">
        <f>IF(J1045&lt;I1042,"有效","无效")</f>
        <v>有效</v>
      </c>
      <c r="K1046" s="20"/>
      <c r="L1046" s="6" t="str">
        <f>IF(R1046&lt;=12,"有效","无效")</f>
        <v>有效</v>
      </c>
      <c r="M1046" s="31" t="s">
        <v>1776</v>
      </c>
      <c r="N1046" s="32"/>
      <c r="O1046" s="32"/>
      <c r="P1046" s="32"/>
      <c r="Q1046" s="33"/>
      <c r="R1046" s="10">
        <f>LEN(M1046)</f>
        <v>8</v>
      </c>
      <c r="S1046" s="10">
        <f>MOD(R1046,2)*4+FLOOR(R1046/2,1)*6</f>
        <v>24</v>
      </c>
      <c r="T1046" s="12" t="str">
        <f>IF(T1045&lt;I1042,"有效","无效")</f>
        <v>有效</v>
      </c>
    </row>
    <row r="1047" spans="1:20" ht="20" customHeight="1">
      <c r="A1047" s="22">
        <v>210</v>
      </c>
      <c r="B1047" s="23" t="s">
        <v>342</v>
      </c>
      <c r="C1047" s="24" t="s">
        <v>54</v>
      </c>
      <c r="D1047" s="14">
        <f>LEN($B1047)</f>
        <v>3</v>
      </c>
      <c r="E1047" s="14">
        <f>LEN(C1047)+3</f>
        <v>5</v>
      </c>
      <c r="F1047" s="14">
        <f>MOD(D1047,2)*4+FLOOR(D1047/2,1)*6</f>
        <v>10</v>
      </c>
      <c r="G1047" s="14">
        <f>MOD(E1047,2)*4+FLOOR(E1047/2,1)*6</f>
        <v>16</v>
      </c>
      <c r="H1047" s="14">
        <v>12</v>
      </c>
      <c r="I1047" s="14">
        <f>108-H1047-G1047-F1047</f>
        <v>70</v>
      </c>
    </row>
    <row r="1048" spans="1:20" ht="20" customHeight="1">
      <c r="A1048" s="22"/>
      <c r="B1048" s="6" t="str">
        <f>IF(H1048&lt;=12,"有效","无效")</f>
        <v>有效</v>
      </c>
      <c r="C1048" s="31" t="s">
        <v>1777</v>
      </c>
      <c r="D1048" s="32"/>
      <c r="E1048" s="32"/>
      <c r="F1048" s="32"/>
      <c r="G1048" s="33"/>
      <c r="H1048" s="4">
        <f>LEN(C1048)</f>
        <v>9</v>
      </c>
      <c r="I1048" s="11">
        <f>MOD(H1048,2)*4+FLOOR(H1048/2,1)*6</f>
        <v>28</v>
      </c>
      <c r="J1048" s="12">
        <f>I1048+I1049</f>
        <v>44</v>
      </c>
      <c r="K1048" s="20"/>
      <c r="L1048" s="13" t="str">
        <f>IF(R1048&lt;=12,"有效","无效")</f>
        <v>有效</v>
      </c>
      <c r="M1048" s="35" t="s">
        <v>1781</v>
      </c>
      <c r="N1048" s="35"/>
      <c r="O1048" s="35"/>
      <c r="P1048" s="35"/>
      <c r="Q1048" s="36"/>
      <c r="R1048" s="10">
        <f>LEN(M1048)</f>
        <v>9</v>
      </c>
      <c r="S1048" s="10">
        <f>MOD(R1048,2)*4+FLOOR(R1048/2,1)*6</f>
        <v>28</v>
      </c>
      <c r="T1048" s="12">
        <f>S1048+S1049</f>
        <v>58</v>
      </c>
    </row>
    <row r="1049" spans="1:20" ht="20" customHeight="1">
      <c r="A1049" s="22"/>
      <c r="B1049" s="6" t="str">
        <f>IF(H1049&lt;=12,"有效","无效")</f>
        <v>有效</v>
      </c>
      <c r="C1049" s="31" t="s">
        <v>1778</v>
      </c>
      <c r="D1049" s="32"/>
      <c r="E1049" s="32"/>
      <c r="F1049" s="32"/>
      <c r="G1049" s="33"/>
      <c r="H1049" s="4">
        <f>LEN(C1049)</f>
        <v>5</v>
      </c>
      <c r="I1049" s="11">
        <f>MOD(H1049,2)*4+FLOOR(H1049/2,1)*6</f>
        <v>16</v>
      </c>
      <c r="J1049" s="12" t="str">
        <f>IF(J1048&lt;I1047,"有效","无效")</f>
        <v>有效</v>
      </c>
      <c r="K1049" s="20"/>
      <c r="L1049" s="6" t="str">
        <f>IF(R1049&lt;=12,"有效","无效")</f>
        <v>有效</v>
      </c>
      <c r="M1049" s="34" t="s">
        <v>1782</v>
      </c>
      <c r="N1049" s="35"/>
      <c r="O1049" s="35"/>
      <c r="P1049" s="35"/>
      <c r="Q1049" s="36"/>
      <c r="R1049" s="10">
        <f>LEN(M1049)</f>
        <v>10</v>
      </c>
      <c r="S1049" s="10">
        <f>MOD(R1049,2)*4+FLOOR(R1049/2,1)*6</f>
        <v>30</v>
      </c>
      <c r="T1049" s="12" t="str">
        <f>IF(T1048&lt;I1047,"有效","无效")</f>
        <v>有效</v>
      </c>
    </row>
    <row r="1050" spans="1:20" ht="20" customHeight="1">
      <c r="A1050" s="22"/>
      <c r="B1050" s="6" t="str">
        <f>IF(H1050&lt;=12,"有效","无效")</f>
        <v>有效</v>
      </c>
      <c r="C1050" s="31" t="s">
        <v>1779</v>
      </c>
      <c r="D1050" s="32"/>
      <c r="E1050" s="32"/>
      <c r="F1050" s="32"/>
      <c r="G1050" s="33"/>
      <c r="H1050" s="4">
        <f>LEN(C1050)</f>
        <v>7</v>
      </c>
      <c r="I1050" s="11">
        <f>MOD(H1050,2)*4+FLOOR(H1050/2,1)*6</f>
        <v>22</v>
      </c>
      <c r="J1050" s="12">
        <f>I1050+I1051</f>
        <v>46</v>
      </c>
      <c r="K1050" s="20"/>
      <c r="L1050" s="6" t="str">
        <f>IF(R1050&lt;=12,"有效","无效")</f>
        <v>有效</v>
      </c>
      <c r="M1050" s="34" t="s">
        <v>1784</v>
      </c>
      <c r="N1050" s="35"/>
      <c r="O1050" s="35"/>
      <c r="P1050" s="35"/>
      <c r="Q1050" s="36"/>
      <c r="R1050" s="10">
        <f>LEN(M1050)</f>
        <v>4</v>
      </c>
      <c r="S1050" s="10">
        <f>MOD(R1050,2)*4+FLOOR(R1050/2,1)*6</f>
        <v>12</v>
      </c>
      <c r="T1050" s="12">
        <f>S1050+S1051</f>
        <v>34</v>
      </c>
    </row>
    <row r="1051" spans="1:20" ht="20" customHeight="1">
      <c r="A1051" s="22"/>
      <c r="B1051" s="6" t="str">
        <f>IF(H1051&lt;=12,"有效","无效")</f>
        <v>有效</v>
      </c>
      <c r="C1051" s="31" t="s">
        <v>1780</v>
      </c>
      <c r="D1051" s="32"/>
      <c r="E1051" s="32"/>
      <c r="F1051" s="32"/>
      <c r="G1051" s="33"/>
      <c r="H1051" s="4">
        <f>LEN(C1051)</f>
        <v>8</v>
      </c>
      <c r="I1051" s="11">
        <f>MOD(H1051,2)*4+FLOOR(H1051/2,1)*6</f>
        <v>24</v>
      </c>
      <c r="J1051" s="12" t="str">
        <f>IF(J1050&lt;I1047,"有效","无效")</f>
        <v>有效</v>
      </c>
      <c r="K1051" s="20"/>
      <c r="L1051" s="6" t="str">
        <f>IF(R1051&lt;=12,"有效","无效")</f>
        <v>有效</v>
      </c>
      <c r="M1051" s="34" t="s">
        <v>1783</v>
      </c>
      <c r="N1051" s="35"/>
      <c r="O1051" s="35"/>
      <c r="P1051" s="35"/>
      <c r="Q1051" s="36"/>
      <c r="R1051" s="10">
        <f>LEN(M1051)</f>
        <v>7</v>
      </c>
      <c r="S1051" s="10">
        <f>MOD(R1051,2)*4+FLOOR(R1051/2,1)*6</f>
        <v>22</v>
      </c>
      <c r="T1051" s="12" t="str">
        <f>IF(T1050&lt;I1047,"有效","无效")</f>
        <v>有效</v>
      </c>
    </row>
    <row r="1052" spans="1:20" ht="20" customHeight="1">
      <c r="A1052" s="22">
        <v>211</v>
      </c>
      <c r="B1052" s="23" t="s">
        <v>343</v>
      </c>
      <c r="C1052" s="24" t="s">
        <v>60</v>
      </c>
      <c r="D1052" s="14">
        <f>LEN($B1052)</f>
        <v>3</v>
      </c>
      <c r="E1052" s="14">
        <f>LEN(C1052)+3</f>
        <v>5</v>
      </c>
      <c r="F1052" s="14">
        <f>MOD(D1052,2)*4+FLOOR(D1052/2,1)*6</f>
        <v>10</v>
      </c>
      <c r="G1052" s="14">
        <f>MOD(E1052,2)*4+FLOOR(E1052/2,1)*6</f>
        <v>16</v>
      </c>
      <c r="H1052" s="14">
        <v>12</v>
      </c>
      <c r="I1052" s="14">
        <f>108-H1052-G1052-F1052</f>
        <v>70</v>
      </c>
    </row>
    <row r="1053" spans="1:20" ht="20" customHeight="1">
      <c r="A1053" s="22"/>
      <c r="B1053" s="6" t="str">
        <f>IF(H1053&lt;=12,"有效","无效")</f>
        <v>有效</v>
      </c>
      <c r="C1053" s="31" t="s">
        <v>2220</v>
      </c>
      <c r="D1053" s="32"/>
      <c r="E1053" s="32"/>
      <c r="F1053" s="32"/>
      <c r="G1053" s="33"/>
      <c r="H1053" s="4">
        <f>LEN(C1053)</f>
        <v>4</v>
      </c>
      <c r="I1053" s="11">
        <f>MOD(H1053,2)*4+FLOOR(H1053/2,1)*6</f>
        <v>12</v>
      </c>
      <c r="J1053" s="12">
        <f>I1053+I1054</f>
        <v>30</v>
      </c>
      <c r="K1053" s="20"/>
      <c r="L1053" s="13" t="str">
        <f>IF(R1053&lt;=12,"有效","无效")</f>
        <v>有效</v>
      </c>
      <c r="M1053" s="32" t="s">
        <v>1786</v>
      </c>
      <c r="N1053" s="32"/>
      <c r="O1053" s="32"/>
      <c r="P1053" s="32"/>
      <c r="Q1053" s="33"/>
      <c r="R1053" s="10">
        <f>LEN(M1053)</f>
        <v>7</v>
      </c>
      <c r="S1053" s="10">
        <f>MOD(R1053,2)*4+FLOOR(R1053/2,1)*6</f>
        <v>22</v>
      </c>
      <c r="T1053" s="12">
        <f>S1053+S1054</f>
        <v>56</v>
      </c>
    </row>
    <row r="1054" spans="1:20" ht="20" customHeight="1">
      <c r="A1054" s="22"/>
      <c r="B1054" s="6" t="str">
        <f>IF(H1054&lt;=12,"有效","无效")</f>
        <v>有效</v>
      </c>
      <c r="C1054" s="31" t="s">
        <v>2221</v>
      </c>
      <c r="D1054" s="32"/>
      <c r="E1054" s="32"/>
      <c r="F1054" s="32"/>
      <c r="G1054" s="33"/>
      <c r="H1054" s="4">
        <f>LEN(C1054)</f>
        <v>6</v>
      </c>
      <c r="I1054" s="11">
        <f>MOD(H1054,2)*4+FLOOR(H1054/2,1)*6</f>
        <v>18</v>
      </c>
      <c r="J1054" s="12" t="str">
        <f>IF(J1053&lt;I1052,"有效","无效")</f>
        <v>有效</v>
      </c>
      <c r="K1054" s="20"/>
      <c r="L1054" s="6" t="str">
        <f>IF(R1054&lt;=12,"有效","无效")</f>
        <v>有效</v>
      </c>
      <c r="M1054" s="31" t="s">
        <v>1787</v>
      </c>
      <c r="N1054" s="32"/>
      <c r="O1054" s="32"/>
      <c r="P1054" s="32"/>
      <c r="Q1054" s="33"/>
      <c r="R1054" s="10">
        <f>LEN(M1054)</f>
        <v>11</v>
      </c>
      <c r="S1054" s="10">
        <f>MOD(R1054,2)*4+FLOOR(R1054/2,1)*6</f>
        <v>34</v>
      </c>
      <c r="T1054" s="12" t="str">
        <f>IF(T1053&lt;I1052,"有效","无效")</f>
        <v>有效</v>
      </c>
    </row>
    <row r="1055" spans="1:20" ht="20" customHeight="1">
      <c r="A1055" s="22"/>
      <c r="B1055" s="6" t="str">
        <f>IF(H1055&lt;=12,"有效","无效")</f>
        <v>有效</v>
      </c>
      <c r="C1055" s="31" t="s">
        <v>2219</v>
      </c>
      <c r="D1055" s="32"/>
      <c r="E1055" s="32"/>
      <c r="F1055" s="32"/>
      <c r="G1055" s="33"/>
      <c r="H1055" s="4">
        <f>LEN(C1055)</f>
        <v>10</v>
      </c>
      <c r="I1055" s="11">
        <f>MOD(H1055,2)*4+FLOOR(H1055/2,1)*6</f>
        <v>30</v>
      </c>
      <c r="J1055" s="12">
        <f>I1055+I1056</f>
        <v>58</v>
      </c>
      <c r="K1055" s="20"/>
      <c r="L1055" s="6" t="str">
        <f>IF(R1055&lt;=12,"有效","无效")</f>
        <v>有效</v>
      </c>
      <c r="M1055" s="31" t="s">
        <v>1788</v>
      </c>
      <c r="N1055" s="32"/>
      <c r="O1055" s="32"/>
      <c r="P1055" s="32"/>
      <c r="Q1055" s="33"/>
      <c r="R1055" s="10">
        <f>LEN(M1055)</f>
        <v>8</v>
      </c>
      <c r="S1055" s="10">
        <f>MOD(R1055,2)*4+FLOOR(R1055/2,1)*6</f>
        <v>24</v>
      </c>
      <c r="T1055" s="12">
        <f>S1055+S1056</f>
        <v>52</v>
      </c>
    </row>
    <row r="1056" spans="1:20" ht="20" customHeight="1">
      <c r="A1056" s="22"/>
      <c r="B1056" s="6" t="str">
        <f>IF(H1056&lt;=12,"有效","无效")</f>
        <v>有效</v>
      </c>
      <c r="C1056" s="31" t="s">
        <v>1785</v>
      </c>
      <c r="D1056" s="32"/>
      <c r="E1056" s="32"/>
      <c r="F1056" s="32"/>
      <c r="G1056" s="33"/>
      <c r="H1056" s="4">
        <f>LEN(C1056)</f>
        <v>9</v>
      </c>
      <c r="I1056" s="11">
        <f>MOD(H1056,2)*4+FLOOR(H1056/2,1)*6</f>
        <v>28</v>
      </c>
      <c r="J1056" s="12" t="str">
        <f>IF(J1055&lt;I1052,"有效","无效")</f>
        <v>有效</v>
      </c>
      <c r="K1056" s="20"/>
      <c r="L1056" s="6" t="str">
        <f>IF(R1056&lt;=12,"有效","无效")</f>
        <v>有效</v>
      </c>
      <c r="M1056" s="31" t="s">
        <v>1789</v>
      </c>
      <c r="N1056" s="32"/>
      <c r="O1056" s="32"/>
      <c r="P1056" s="32"/>
      <c r="Q1056" s="33"/>
      <c r="R1056" s="10">
        <f>LEN(M1056)</f>
        <v>9</v>
      </c>
      <c r="S1056" s="10">
        <f>MOD(R1056,2)*4+FLOOR(R1056/2,1)*6</f>
        <v>28</v>
      </c>
      <c r="T1056" s="12" t="str">
        <f>IF(T1055&lt;I1052,"有效","无效")</f>
        <v>有效</v>
      </c>
    </row>
    <row r="1057" spans="1:20" ht="20" customHeight="1">
      <c r="A1057" s="22">
        <v>212</v>
      </c>
      <c r="B1057" s="23" t="s">
        <v>344</v>
      </c>
      <c r="C1057" s="24" t="s">
        <v>155</v>
      </c>
      <c r="D1057" s="14">
        <f>LEN($B1057)</f>
        <v>4</v>
      </c>
      <c r="E1057" s="14">
        <f>LEN(C1057)+3</f>
        <v>5</v>
      </c>
      <c r="F1057" s="14">
        <f>MOD(D1057,2)*4+FLOOR(D1057/2,1)*6</f>
        <v>12</v>
      </c>
      <c r="G1057" s="14">
        <f>MOD(E1057,2)*4+FLOOR(E1057/2,1)*6</f>
        <v>16</v>
      </c>
      <c r="H1057" s="14">
        <v>12</v>
      </c>
      <c r="I1057" s="14">
        <f>108-H1057-G1057-F1057</f>
        <v>68</v>
      </c>
    </row>
    <row r="1058" spans="1:20" ht="20" customHeight="1">
      <c r="A1058" s="22"/>
      <c r="B1058" s="6" t="str">
        <f>IF(H1058&lt;=12,"有效","无效")</f>
        <v>有效</v>
      </c>
      <c r="C1058" s="31" t="s">
        <v>1790</v>
      </c>
      <c r="D1058" s="32"/>
      <c r="E1058" s="32"/>
      <c r="F1058" s="32"/>
      <c r="G1058" s="33"/>
      <c r="H1058" s="4">
        <f>LEN(C1058)</f>
        <v>10</v>
      </c>
      <c r="I1058" s="11">
        <f>MOD(H1058,2)*4+FLOOR(H1058/2,1)*6</f>
        <v>30</v>
      </c>
      <c r="J1058" s="12">
        <f>I1058+I1059</f>
        <v>58</v>
      </c>
      <c r="K1058" s="20"/>
      <c r="L1058" s="13" t="str">
        <f>IF(R1058&lt;=12,"有效","无效")</f>
        <v>有效</v>
      </c>
      <c r="M1058" s="35" t="s">
        <v>1794</v>
      </c>
      <c r="N1058" s="35"/>
      <c r="O1058" s="35"/>
      <c r="P1058" s="35"/>
      <c r="Q1058" s="36"/>
      <c r="R1058" s="10">
        <f>LEN(M1058)</f>
        <v>6</v>
      </c>
      <c r="S1058" s="10">
        <f>MOD(R1058,2)*4+FLOOR(R1058/2,1)*6</f>
        <v>18</v>
      </c>
      <c r="T1058" s="12">
        <f>S1058+S1059</f>
        <v>34</v>
      </c>
    </row>
    <row r="1059" spans="1:20" ht="20" customHeight="1">
      <c r="A1059" s="22"/>
      <c r="B1059" s="6" t="str">
        <f>IF(H1059&lt;=12,"有效","无效")</f>
        <v>有效</v>
      </c>
      <c r="C1059" s="31" t="s">
        <v>1791</v>
      </c>
      <c r="D1059" s="32"/>
      <c r="E1059" s="32"/>
      <c r="F1059" s="32"/>
      <c r="G1059" s="33"/>
      <c r="H1059" s="4">
        <f>LEN(C1059)</f>
        <v>9</v>
      </c>
      <c r="I1059" s="11">
        <f>MOD(H1059,2)*4+FLOOR(H1059/2,1)*6</f>
        <v>28</v>
      </c>
      <c r="J1059" s="12" t="str">
        <f>IF(J1058&lt;I1057,"有效","无效")</f>
        <v>有效</v>
      </c>
      <c r="K1059" s="20"/>
      <c r="L1059" s="6" t="str">
        <f>IF(R1059&lt;=12,"有效","无效")</f>
        <v>有效</v>
      </c>
      <c r="M1059" s="34" t="s">
        <v>1795</v>
      </c>
      <c r="N1059" s="35"/>
      <c r="O1059" s="35"/>
      <c r="P1059" s="35"/>
      <c r="Q1059" s="36"/>
      <c r="R1059" s="10">
        <f>LEN(M1059)</f>
        <v>5</v>
      </c>
      <c r="S1059" s="10">
        <f>MOD(R1059,2)*4+FLOOR(R1059/2,1)*6</f>
        <v>16</v>
      </c>
      <c r="T1059" s="12" t="str">
        <f>IF(T1058&lt;I1057,"有效","无效")</f>
        <v>有效</v>
      </c>
    </row>
    <row r="1060" spans="1:20" ht="20" customHeight="1">
      <c r="A1060" s="22"/>
      <c r="B1060" s="6" t="str">
        <f>IF(H1060&lt;=12,"有效","无效")</f>
        <v>有效</v>
      </c>
      <c r="C1060" s="31" t="s">
        <v>1792</v>
      </c>
      <c r="D1060" s="32"/>
      <c r="E1060" s="32"/>
      <c r="F1060" s="32"/>
      <c r="G1060" s="33"/>
      <c r="H1060" s="4">
        <f>LEN(C1060)</f>
        <v>6</v>
      </c>
      <c r="I1060" s="11">
        <f>MOD(H1060,2)*4+FLOOR(H1060/2,1)*6</f>
        <v>18</v>
      </c>
      <c r="J1060" s="12">
        <f>I1060+I1061</f>
        <v>42</v>
      </c>
      <c r="K1060" s="20"/>
      <c r="L1060" s="6" t="str">
        <f>IF(R1060&lt;=12,"有效","无效")</f>
        <v>有效</v>
      </c>
      <c r="M1060" s="34" t="s">
        <v>1796</v>
      </c>
      <c r="N1060" s="35"/>
      <c r="O1060" s="35"/>
      <c r="P1060" s="35"/>
      <c r="Q1060" s="36"/>
      <c r="R1060" s="10">
        <f>LEN(M1060)</f>
        <v>7</v>
      </c>
      <c r="S1060" s="10">
        <f>MOD(R1060,2)*4+FLOOR(R1060/2,1)*6</f>
        <v>22</v>
      </c>
      <c r="T1060" s="12">
        <f>S1060+S1061</f>
        <v>52</v>
      </c>
    </row>
    <row r="1061" spans="1:20" ht="20" customHeight="1">
      <c r="A1061" s="22"/>
      <c r="B1061" s="6" t="str">
        <f>IF(H1061&lt;=12,"有效","无效")</f>
        <v>有效</v>
      </c>
      <c r="C1061" s="31" t="s">
        <v>1793</v>
      </c>
      <c r="D1061" s="32"/>
      <c r="E1061" s="32"/>
      <c r="F1061" s="32"/>
      <c r="G1061" s="33"/>
      <c r="H1061" s="4">
        <f>LEN(C1061)</f>
        <v>8</v>
      </c>
      <c r="I1061" s="11">
        <f>MOD(H1061,2)*4+FLOOR(H1061/2,1)*6</f>
        <v>24</v>
      </c>
      <c r="J1061" s="12" t="str">
        <f>IF(J1060&lt;I1057,"有效","无效")</f>
        <v>有效</v>
      </c>
      <c r="K1061" s="20"/>
      <c r="L1061" s="6" t="str">
        <f>IF(R1061&lt;=12,"有效","无效")</f>
        <v>有效</v>
      </c>
      <c r="M1061" s="34" t="s">
        <v>1797</v>
      </c>
      <c r="N1061" s="35"/>
      <c r="O1061" s="35"/>
      <c r="P1061" s="35"/>
      <c r="Q1061" s="36"/>
      <c r="R1061" s="10">
        <f>LEN(M1061)</f>
        <v>10</v>
      </c>
      <c r="S1061" s="10">
        <f>MOD(R1061,2)*4+FLOOR(R1061/2,1)*6</f>
        <v>30</v>
      </c>
      <c r="T1061" s="12" t="str">
        <f>IF(T1060&lt;I1057,"有效","无效")</f>
        <v>有效</v>
      </c>
    </row>
    <row r="1062" spans="1:20" ht="20" customHeight="1">
      <c r="A1062" s="22">
        <v>213</v>
      </c>
      <c r="B1062" s="23" t="s">
        <v>345</v>
      </c>
      <c r="C1062" s="24" t="s">
        <v>346</v>
      </c>
      <c r="D1062" s="14">
        <f>LEN($B1062)</f>
        <v>2</v>
      </c>
      <c r="E1062" s="14">
        <f>LEN(C1062)+3</f>
        <v>5</v>
      </c>
      <c r="F1062" s="14">
        <f>MOD(D1062,2)*4+FLOOR(D1062/2,1)*6</f>
        <v>6</v>
      </c>
      <c r="G1062" s="14">
        <f>MOD(E1062,2)*4+FLOOR(E1062/2,1)*6</f>
        <v>16</v>
      </c>
      <c r="H1062" s="14">
        <v>12</v>
      </c>
      <c r="I1062" s="14">
        <f>108-H1062-G1062-F1062</f>
        <v>74</v>
      </c>
    </row>
    <row r="1063" spans="1:20" ht="20" customHeight="1">
      <c r="A1063" s="22"/>
      <c r="B1063" s="6" t="str">
        <f>IF(H1063&lt;=12,"有效","无效")</f>
        <v>有效</v>
      </c>
      <c r="C1063" s="34" t="s">
        <v>1798</v>
      </c>
      <c r="D1063" s="35"/>
      <c r="E1063" s="35"/>
      <c r="F1063" s="35"/>
      <c r="G1063" s="36"/>
      <c r="H1063" s="4">
        <f>LEN(C1063)</f>
        <v>7</v>
      </c>
      <c r="I1063" s="11">
        <f>MOD(H1063,2)*4+FLOOR(H1063/2,1)*6</f>
        <v>22</v>
      </c>
      <c r="J1063" s="12">
        <f>I1063+I1064</f>
        <v>58</v>
      </c>
      <c r="K1063" s="20"/>
      <c r="L1063" s="13" t="str">
        <f>IF(R1063&lt;=12,"有效","无效")</f>
        <v>有效</v>
      </c>
      <c r="M1063" s="32" t="s">
        <v>1800</v>
      </c>
      <c r="N1063" s="32"/>
      <c r="O1063" s="32"/>
      <c r="P1063" s="32"/>
      <c r="Q1063" s="33"/>
      <c r="R1063" s="10">
        <f>LEN(M1063)</f>
        <v>9</v>
      </c>
      <c r="S1063" s="10">
        <f>MOD(R1063,2)*4+FLOOR(R1063/2,1)*6</f>
        <v>28</v>
      </c>
      <c r="T1063" s="12">
        <f>S1063+S1064</f>
        <v>56</v>
      </c>
    </row>
    <row r="1064" spans="1:20" ht="20" customHeight="1">
      <c r="A1064" s="22"/>
      <c r="B1064" s="6" t="str">
        <f>IF(H1064&lt;=12,"有效","无效")</f>
        <v>有效</v>
      </c>
      <c r="C1064" s="34" t="s">
        <v>2223</v>
      </c>
      <c r="D1064" s="35"/>
      <c r="E1064" s="35"/>
      <c r="F1064" s="35"/>
      <c r="G1064" s="36"/>
      <c r="H1064" s="4">
        <f>LEN(C1064)</f>
        <v>12</v>
      </c>
      <c r="I1064" s="11">
        <f>MOD(H1064,2)*4+FLOOR(H1064/2,1)*6</f>
        <v>36</v>
      </c>
      <c r="J1064" s="12" t="str">
        <f>IF(J1063&lt;I1062,"有效","无效")</f>
        <v>有效</v>
      </c>
      <c r="K1064" s="20"/>
      <c r="L1064" s="6" t="str">
        <f>IF(R1064&lt;=12,"有效","无效")</f>
        <v>有效</v>
      </c>
      <c r="M1064" s="31" t="s">
        <v>1801</v>
      </c>
      <c r="N1064" s="32"/>
      <c r="O1064" s="32"/>
      <c r="P1064" s="32"/>
      <c r="Q1064" s="33"/>
      <c r="R1064" s="10">
        <f>LEN(M1064)</f>
        <v>9</v>
      </c>
      <c r="S1064" s="10">
        <f>MOD(R1064,2)*4+FLOOR(R1064/2,1)*6</f>
        <v>28</v>
      </c>
      <c r="T1064" s="12" t="str">
        <f>IF(T1063&lt;I1062,"有效","无效")</f>
        <v>有效</v>
      </c>
    </row>
    <row r="1065" spans="1:20" ht="20" customHeight="1">
      <c r="A1065" s="22"/>
      <c r="B1065" s="6" t="str">
        <f>IF(H1065&lt;=12,"有效","无效")</f>
        <v>有效</v>
      </c>
      <c r="C1065" s="34" t="s">
        <v>2222</v>
      </c>
      <c r="D1065" s="35"/>
      <c r="E1065" s="35"/>
      <c r="F1065" s="35"/>
      <c r="G1065" s="36"/>
      <c r="H1065" s="4">
        <f>LEN(C1065)</f>
        <v>4</v>
      </c>
      <c r="I1065" s="11">
        <f>MOD(H1065,2)*4+FLOOR(H1065/2,1)*6</f>
        <v>12</v>
      </c>
      <c r="J1065" s="12">
        <f>I1065+I1066</f>
        <v>34</v>
      </c>
      <c r="K1065" s="20"/>
      <c r="L1065" s="6" t="str">
        <f>IF(R1065&lt;=12,"有效","无效")</f>
        <v>有效</v>
      </c>
      <c r="M1065" s="31" t="s">
        <v>1802</v>
      </c>
      <c r="N1065" s="32"/>
      <c r="O1065" s="32"/>
      <c r="P1065" s="32"/>
      <c r="Q1065" s="33"/>
      <c r="R1065" s="10">
        <f>LEN(M1065)</f>
        <v>7</v>
      </c>
      <c r="S1065" s="10">
        <f>MOD(R1065,2)*4+FLOOR(R1065/2,1)*6</f>
        <v>22</v>
      </c>
      <c r="T1065" s="12">
        <f>S1065+S1066</f>
        <v>44</v>
      </c>
    </row>
    <row r="1066" spans="1:20" ht="20" customHeight="1">
      <c r="A1066" s="22"/>
      <c r="B1066" s="6" t="str">
        <f>IF(H1066&lt;=12,"有效","无效")</f>
        <v>有效</v>
      </c>
      <c r="C1066" s="34" t="s">
        <v>1799</v>
      </c>
      <c r="D1066" s="35"/>
      <c r="E1066" s="35"/>
      <c r="F1066" s="35"/>
      <c r="G1066" s="36"/>
      <c r="H1066" s="4">
        <f>LEN(C1066)</f>
        <v>7</v>
      </c>
      <c r="I1066" s="11">
        <f>MOD(H1066,2)*4+FLOOR(H1066/2,1)*6</f>
        <v>22</v>
      </c>
      <c r="J1066" s="12" t="str">
        <f>IF(J1065&lt;I1062,"有效","无效")</f>
        <v>有效</v>
      </c>
      <c r="K1066" s="20"/>
      <c r="L1066" s="6" t="str">
        <f>IF(R1066&lt;=12,"有效","无效")</f>
        <v>有效</v>
      </c>
      <c r="M1066" s="31" t="s">
        <v>1803</v>
      </c>
      <c r="N1066" s="32"/>
      <c r="O1066" s="32"/>
      <c r="P1066" s="32"/>
      <c r="Q1066" s="33"/>
      <c r="R1066" s="10">
        <f>LEN(M1066)</f>
        <v>7</v>
      </c>
      <c r="S1066" s="10">
        <f>MOD(R1066,2)*4+FLOOR(R1066/2,1)*6</f>
        <v>22</v>
      </c>
      <c r="T1066" s="12" t="str">
        <f>IF(T1065&lt;I1062,"有效","无效")</f>
        <v>有效</v>
      </c>
    </row>
    <row r="1067" spans="1:20" ht="20" customHeight="1">
      <c r="A1067" s="22">
        <v>214</v>
      </c>
      <c r="B1067" s="23" t="s">
        <v>347</v>
      </c>
      <c r="C1067" s="24" t="s">
        <v>348</v>
      </c>
      <c r="D1067" s="14">
        <f>LEN($B1067)</f>
        <v>5</v>
      </c>
      <c r="E1067" s="14">
        <f>LEN(C1067)+3</f>
        <v>5</v>
      </c>
      <c r="F1067" s="14">
        <f>MOD(D1067,2)*4+FLOOR(D1067/2,1)*6</f>
        <v>16</v>
      </c>
      <c r="G1067" s="14">
        <f>MOD(E1067,2)*4+FLOOR(E1067/2,1)*6</f>
        <v>16</v>
      </c>
      <c r="H1067" s="14">
        <v>12</v>
      </c>
      <c r="I1067" s="14">
        <f>108-H1067-G1067-F1067</f>
        <v>64</v>
      </c>
    </row>
    <row r="1068" spans="1:20" ht="20" customHeight="1">
      <c r="A1068" s="22"/>
      <c r="B1068" s="6" t="str">
        <f>IF(H1068&lt;=12,"有效","无效")</f>
        <v>有效</v>
      </c>
      <c r="C1068" s="31" t="s">
        <v>1807</v>
      </c>
      <c r="D1068" s="32"/>
      <c r="E1068" s="32"/>
      <c r="F1068" s="32"/>
      <c r="G1068" s="33"/>
      <c r="H1068" s="4">
        <f>LEN(C1068)</f>
        <v>10</v>
      </c>
      <c r="I1068" s="11">
        <f>MOD(H1068,2)*4+FLOOR(H1068/2,1)*6</f>
        <v>30</v>
      </c>
      <c r="J1068" s="12">
        <f>I1068+I1069</f>
        <v>60</v>
      </c>
      <c r="K1068" s="20"/>
      <c r="L1068" s="13" t="str">
        <f>IF(R1068&lt;=12,"有效","无效")</f>
        <v>有效</v>
      </c>
      <c r="M1068" s="35" t="s">
        <v>1808</v>
      </c>
      <c r="N1068" s="35"/>
      <c r="O1068" s="35"/>
      <c r="P1068" s="35"/>
      <c r="Q1068" s="36"/>
      <c r="R1068" s="10">
        <f>LEN(M1068)</f>
        <v>9</v>
      </c>
      <c r="S1068" s="10">
        <f>MOD(R1068,2)*4+FLOOR(R1068/2,1)*6</f>
        <v>28</v>
      </c>
      <c r="T1068" s="12">
        <f>S1068+S1069</f>
        <v>40</v>
      </c>
    </row>
    <row r="1069" spans="1:20" ht="20" customHeight="1">
      <c r="A1069" s="22"/>
      <c r="B1069" s="6" t="str">
        <f>IF(H1069&lt;=12,"有效","无效")</f>
        <v>有效</v>
      </c>
      <c r="C1069" s="31" t="s">
        <v>1806</v>
      </c>
      <c r="D1069" s="32"/>
      <c r="E1069" s="32"/>
      <c r="F1069" s="32"/>
      <c r="G1069" s="33"/>
      <c r="H1069" s="4">
        <f>LEN(C1069)</f>
        <v>10</v>
      </c>
      <c r="I1069" s="11">
        <f>MOD(H1069,2)*4+FLOOR(H1069/2,1)*6</f>
        <v>30</v>
      </c>
      <c r="J1069" s="12" t="str">
        <f>IF(J1068&lt;I1067,"有效","无效")</f>
        <v>有效</v>
      </c>
      <c r="K1069" s="20"/>
      <c r="L1069" s="6" t="str">
        <f>IF(R1069&lt;=12,"有效","无效")</f>
        <v>有效</v>
      </c>
      <c r="M1069" s="34" t="s">
        <v>1809</v>
      </c>
      <c r="N1069" s="35"/>
      <c r="O1069" s="35"/>
      <c r="P1069" s="35"/>
      <c r="Q1069" s="36"/>
      <c r="R1069" s="10">
        <f>LEN(M1069)</f>
        <v>4</v>
      </c>
      <c r="S1069" s="10">
        <f>MOD(R1069,2)*4+FLOOR(R1069/2,1)*6</f>
        <v>12</v>
      </c>
      <c r="T1069" s="12" t="str">
        <f>IF(T1068&lt;I1067,"有效","无效")</f>
        <v>有效</v>
      </c>
    </row>
    <row r="1070" spans="1:20" ht="20" customHeight="1">
      <c r="A1070" s="22"/>
      <c r="B1070" s="6" t="str">
        <f>IF(H1070&lt;=12,"有效","无效")</f>
        <v>有效</v>
      </c>
      <c r="C1070" s="31" t="s">
        <v>1804</v>
      </c>
      <c r="D1070" s="32"/>
      <c r="E1070" s="32"/>
      <c r="F1070" s="32"/>
      <c r="G1070" s="33"/>
      <c r="H1070" s="4">
        <f>LEN(C1070)</f>
        <v>9</v>
      </c>
      <c r="I1070" s="11">
        <f>MOD(H1070,2)*4+FLOOR(H1070/2,1)*6</f>
        <v>28</v>
      </c>
      <c r="J1070" s="12">
        <f>I1070+I1071</f>
        <v>56</v>
      </c>
      <c r="K1070" s="20"/>
      <c r="L1070" s="6" t="str">
        <f>IF(R1070&lt;=12,"有效","无效")</f>
        <v>有效</v>
      </c>
      <c r="M1070" s="34" t="s">
        <v>1810</v>
      </c>
      <c r="N1070" s="35"/>
      <c r="O1070" s="35"/>
      <c r="P1070" s="35"/>
      <c r="Q1070" s="36"/>
      <c r="R1070" s="10">
        <f>LEN(M1070)</f>
        <v>9</v>
      </c>
      <c r="S1070" s="10">
        <f>MOD(R1070,2)*4+FLOOR(R1070/2,1)*6</f>
        <v>28</v>
      </c>
      <c r="T1070" s="12">
        <f>S1070+S1071</f>
        <v>50</v>
      </c>
    </row>
    <row r="1071" spans="1:20" ht="20" customHeight="1">
      <c r="A1071" s="22"/>
      <c r="B1071" s="6" t="str">
        <f>IF(H1071&lt;=12,"有效","无效")</f>
        <v>有效</v>
      </c>
      <c r="C1071" s="31" t="s">
        <v>1805</v>
      </c>
      <c r="D1071" s="32"/>
      <c r="E1071" s="32"/>
      <c r="F1071" s="32"/>
      <c r="G1071" s="33"/>
      <c r="H1071" s="4">
        <f>LEN(C1071)</f>
        <v>9</v>
      </c>
      <c r="I1071" s="11">
        <f>MOD(H1071,2)*4+FLOOR(H1071/2,1)*6</f>
        <v>28</v>
      </c>
      <c r="J1071" s="12" t="str">
        <f>IF(J1070&lt;I1067,"有效","无效")</f>
        <v>有效</v>
      </c>
      <c r="K1071" s="20"/>
      <c r="L1071" s="6" t="str">
        <f>IF(R1071&lt;=12,"有效","无效")</f>
        <v>有效</v>
      </c>
      <c r="M1071" s="34" t="s">
        <v>1811</v>
      </c>
      <c r="N1071" s="35"/>
      <c r="O1071" s="35"/>
      <c r="P1071" s="35"/>
      <c r="Q1071" s="36"/>
      <c r="R1071" s="10">
        <f>LEN(M1071)</f>
        <v>7</v>
      </c>
      <c r="S1071" s="10">
        <f>MOD(R1071,2)*4+FLOOR(R1071/2,1)*6</f>
        <v>22</v>
      </c>
      <c r="T1071" s="12" t="str">
        <f>IF(T1070&lt;I1067,"有效","无效")</f>
        <v>有效</v>
      </c>
    </row>
    <row r="1072" spans="1:20" ht="20" customHeight="1">
      <c r="A1072" s="22">
        <v>215</v>
      </c>
      <c r="B1072" s="23" t="s">
        <v>349</v>
      </c>
      <c r="C1072" s="24" t="s">
        <v>350</v>
      </c>
      <c r="D1072" s="14">
        <f>LEN($B1072)</f>
        <v>2</v>
      </c>
      <c r="E1072" s="14">
        <f>LEN(C1072)+3</f>
        <v>5</v>
      </c>
      <c r="F1072" s="14">
        <f>MOD(D1072,2)*4+FLOOR(D1072/2,1)*6</f>
        <v>6</v>
      </c>
      <c r="G1072" s="14">
        <f>MOD(E1072,2)*4+FLOOR(E1072/2,1)*6</f>
        <v>16</v>
      </c>
      <c r="H1072" s="14">
        <v>12</v>
      </c>
      <c r="I1072" s="14">
        <f>108-H1072-G1072-F1072</f>
        <v>74</v>
      </c>
    </row>
    <row r="1073" spans="1:20" ht="20" customHeight="1">
      <c r="A1073" s="22"/>
      <c r="B1073" s="6" t="str">
        <f>IF(H1073&lt;=12,"有效","无效")</f>
        <v>有效</v>
      </c>
      <c r="C1073" s="31" t="s">
        <v>1812</v>
      </c>
      <c r="D1073" s="32"/>
      <c r="E1073" s="32"/>
      <c r="F1073" s="32"/>
      <c r="G1073" s="33"/>
      <c r="H1073" s="4">
        <f>LEN(C1073)</f>
        <v>11</v>
      </c>
      <c r="I1073" s="11">
        <f>MOD(H1073,2)*4+FLOOR(H1073/2,1)*6</f>
        <v>34</v>
      </c>
      <c r="J1073" s="12">
        <f>I1073+I1074</f>
        <v>62</v>
      </c>
      <c r="K1073" s="20"/>
      <c r="L1073" s="13" t="str">
        <f>IF(R1073&lt;=12,"有效","无效")</f>
        <v>有效</v>
      </c>
      <c r="M1073" s="35" t="s">
        <v>1816</v>
      </c>
      <c r="N1073" s="35"/>
      <c r="O1073" s="35"/>
      <c r="P1073" s="35"/>
      <c r="Q1073" s="36"/>
      <c r="R1073" s="10">
        <f>LEN(M1073)</f>
        <v>5</v>
      </c>
      <c r="S1073" s="10">
        <f>MOD(R1073,2)*4+FLOOR(R1073/2,1)*6</f>
        <v>16</v>
      </c>
      <c r="T1073" s="12">
        <f>S1073+S1074</f>
        <v>50</v>
      </c>
    </row>
    <row r="1074" spans="1:20" ht="20" customHeight="1">
      <c r="A1074" s="22"/>
      <c r="B1074" s="6" t="str">
        <f>IF(H1074&lt;=12,"有效","无效")</f>
        <v>有效</v>
      </c>
      <c r="C1074" s="31" t="s">
        <v>1813</v>
      </c>
      <c r="D1074" s="32"/>
      <c r="E1074" s="32"/>
      <c r="F1074" s="32"/>
      <c r="G1074" s="33"/>
      <c r="H1074" s="4">
        <f>LEN(C1074)</f>
        <v>9</v>
      </c>
      <c r="I1074" s="11">
        <f>MOD(H1074,2)*4+FLOOR(H1074/2,1)*6</f>
        <v>28</v>
      </c>
      <c r="J1074" s="12" t="str">
        <f>IF(J1073&lt;I1072,"有效","无效")</f>
        <v>有效</v>
      </c>
      <c r="K1074" s="20"/>
      <c r="L1074" s="6" t="str">
        <f>IF(R1074&lt;=12,"有效","无效")</f>
        <v>有效</v>
      </c>
      <c r="M1074" s="34" t="s">
        <v>1847</v>
      </c>
      <c r="N1074" s="35"/>
      <c r="O1074" s="35"/>
      <c r="P1074" s="35"/>
      <c r="Q1074" s="36"/>
      <c r="R1074" s="10">
        <f>LEN(M1074)</f>
        <v>11</v>
      </c>
      <c r="S1074" s="10">
        <f>MOD(R1074,2)*4+FLOOR(R1074/2,1)*6</f>
        <v>34</v>
      </c>
      <c r="T1074" s="12" t="str">
        <f>IF(T1073&lt;I1072,"有效","无效")</f>
        <v>有效</v>
      </c>
    </row>
    <row r="1075" spans="1:20" ht="20" customHeight="1">
      <c r="A1075" s="22"/>
      <c r="B1075" s="6" t="str">
        <f>IF(H1075&lt;=12,"有效","无效")</f>
        <v>有效</v>
      </c>
      <c r="C1075" s="31" t="s">
        <v>1815</v>
      </c>
      <c r="D1075" s="32"/>
      <c r="E1075" s="32"/>
      <c r="F1075" s="32"/>
      <c r="G1075" s="33"/>
      <c r="H1075" s="4">
        <f>LEN(C1075)</f>
        <v>6</v>
      </c>
      <c r="I1075" s="11">
        <f>MOD(H1075,2)*4+FLOOR(H1075/2,1)*6</f>
        <v>18</v>
      </c>
      <c r="J1075" s="12">
        <f>I1075+I1076</f>
        <v>40</v>
      </c>
      <c r="K1075" s="20"/>
      <c r="L1075" s="6" t="str">
        <f>IF(R1075&lt;=12,"有效","无效")</f>
        <v>有效</v>
      </c>
      <c r="M1075" s="34" t="s">
        <v>1817</v>
      </c>
      <c r="N1075" s="35"/>
      <c r="O1075" s="35"/>
      <c r="P1075" s="35"/>
      <c r="Q1075" s="36"/>
      <c r="R1075" s="10">
        <f>LEN(M1075)</f>
        <v>4</v>
      </c>
      <c r="S1075" s="10">
        <f>MOD(R1075,2)*4+FLOOR(R1075/2,1)*6</f>
        <v>12</v>
      </c>
      <c r="T1075" s="12">
        <f>S1075+S1076</f>
        <v>34</v>
      </c>
    </row>
    <row r="1076" spans="1:20" ht="20" customHeight="1">
      <c r="A1076" s="22"/>
      <c r="B1076" s="6" t="str">
        <f>IF(H1076&lt;=12,"有效","无效")</f>
        <v>有效</v>
      </c>
      <c r="C1076" s="31" t="s">
        <v>1814</v>
      </c>
      <c r="D1076" s="32"/>
      <c r="E1076" s="32"/>
      <c r="F1076" s="32"/>
      <c r="G1076" s="33"/>
      <c r="H1076" s="4">
        <f>LEN(C1076)</f>
        <v>7</v>
      </c>
      <c r="I1076" s="11">
        <f>MOD(H1076,2)*4+FLOOR(H1076/2,1)*6</f>
        <v>22</v>
      </c>
      <c r="J1076" s="12" t="str">
        <f>IF(J1075&lt;I1072,"有效","无效")</f>
        <v>有效</v>
      </c>
      <c r="K1076" s="20"/>
      <c r="L1076" s="6" t="str">
        <f>IF(R1076&lt;=12,"有效","无效")</f>
        <v>有效</v>
      </c>
      <c r="M1076" s="34" t="s">
        <v>1818</v>
      </c>
      <c r="N1076" s="35"/>
      <c r="O1076" s="35"/>
      <c r="P1076" s="35"/>
      <c r="Q1076" s="36"/>
      <c r="R1076" s="10">
        <f>LEN(M1076)</f>
        <v>7</v>
      </c>
      <c r="S1076" s="10">
        <f>MOD(R1076,2)*4+FLOOR(R1076/2,1)*6</f>
        <v>22</v>
      </c>
      <c r="T1076" s="12" t="str">
        <f>IF(T1075&lt;I1072,"有效","无效")</f>
        <v>有效</v>
      </c>
    </row>
    <row r="1077" spans="1:20" ht="20" customHeight="1">
      <c r="A1077" s="22">
        <v>216</v>
      </c>
      <c r="B1077" s="23" t="s">
        <v>351</v>
      </c>
      <c r="C1077" s="24" t="s">
        <v>352</v>
      </c>
      <c r="D1077" s="14">
        <f>LEN($B1077)</f>
        <v>3</v>
      </c>
      <c r="E1077" s="14">
        <f>LEN(C1077)+3</f>
        <v>5</v>
      </c>
      <c r="F1077" s="14">
        <f>MOD(D1077,2)*4+FLOOR(D1077/2,1)*6</f>
        <v>10</v>
      </c>
      <c r="G1077" s="14">
        <f>MOD(E1077,2)*4+FLOOR(E1077/2,1)*6</f>
        <v>16</v>
      </c>
      <c r="H1077" s="14">
        <v>12</v>
      </c>
      <c r="I1077" s="14">
        <f>108-H1077-G1077-F1077</f>
        <v>70</v>
      </c>
    </row>
    <row r="1078" spans="1:20" ht="20" customHeight="1">
      <c r="A1078" s="22"/>
      <c r="B1078" s="6" t="str">
        <f>IF(H1078&lt;=12,"有效","无效")</f>
        <v>有效</v>
      </c>
      <c r="C1078" s="31" t="s">
        <v>1819</v>
      </c>
      <c r="D1078" s="32"/>
      <c r="E1078" s="32"/>
      <c r="F1078" s="32"/>
      <c r="G1078" s="33"/>
      <c r="H1078" s="4">
        <f>LEN(C1078)</f>
        <v>6</v>
      </c>
      <c r="I1078" s="11">
        <f>MOD(H1078,2)*4+FLOOR(H1078/2,1)*6</f>
        <v>18</v>
      </c>
      <c r="J1078" s="12">
        <f>I1078+I1079</f>
        <v>52</v>
      </c>
      <c r="K1078" s="20"/>
      <c r="L1078" s="13" t="str">
        <f>IF(R1078&lt;=12,"有效","无效")</f>
        <v>有效</v>
      </c>
      <c r="M1078" s="32" t="s">
        <v>1823</v>
      </c>
      <c r="N1078" s="32"/>
      <c r="O1078" s="32"/>
      <c r="P1078" s="32"/>
      <c r="Q1078" s="33"/>
      <c r="R1078" s="10">
        <f>LEN(M1078)</f>
        <v>8</v>
      </c>
      <c r="S1078" s="10">
        <f>MOD(R1078,2)*4+FLOOR(R1078/2,1)*6</f>
        <v>24</v>
      </c>
      <c r="T1078" s="12">
        <f>S1078+S1079</f>
        <v>40</v>
      </c>
    </row>
    <row r="1079" spans="1:20" ht="20" customHeight="1">
      <c r="A1079" s="22"/>
      <c r="B1079" s="6" t="str">
        <f>IF(H1079&lt;=12,"有效","无效")</f>
        <v>有效</v>
      </c>
      <c r="C1079" s="31" t="s">
        <v>1820</v>
      </c>
      <c r="D1079" s="32"/>
      <c r="E1079" s="32"/>
      <c r="F1079" s="32"/>
      <c r="G1079" s="33"/>
      <c r="H1079" s="4">
        <f>LEN(C1079)</f>
        <v>11</v>
      </c>
      <c r="I1079" s="11">
        <f>MOD(H1079,2)*4+FLOOR(H1079/2,1)*6</f>
        <v>34</v>
      </c>
      <c r="J1079" s="12" t="str">
        <f>IF(J1078&lt;I1077,"有效","无效")</f>
        <v>有效</v>
      </c>
      <c r="K1079" s="20"/>
      <c r="L1079" s="6" t="str">
        <f>IF(R1079&lt;=12,"有效","无效")</f>
        <v>有效</v>
      </c>
      <c r="M1079" s="31" t="s">
        <v>1824</v>
      </c>
      <c r="N1079" s="32"/>
      <c r="O1079" s="32"/>
      <c r="P1079" s="32"/>
      <c r="Q1079" s="33"/>
      <c r="R1079" s="10">
        <f>LEN(M1079)</f>
        <v>5</v>
      </c>
      <c r="S1079" s="10">
        <f>MOD(R1079,2)*4+FLOOR(R1079/2,1)*6</f>
        <v>16</v>
      </c>
      <c r="T1079" s="12" t="str">
        <f>IF(T1078&lt;I1077,"有效","无效")</f>
        <v>有效</v>
      </c>
    </row>
    <row r="1080" spans="1:20" ht="20" customHeight="1">
      <c r="A1080" s="22"/>
      <c r="B1080" s="6" t="str">
        <f>IF(H1080&lt;=12,"有效","无效")</f>
        <v>有效</v>
      </c>
      <c r="C1080" s="31" t="s">
        <v>1821</v>
      </c>
      <c r="D1080" s="32"/>
      <c r="E1080" s="32"/>
      <c r="F1080" s="32"/>
      <c r="G1080" s="33"/>
      <c r="H1080" s="4">
        <f>LEN(C1080)</f>
        <v>4</v>
      </c>
      <c r="I1080" s="11">
        <f>MOD(H1080,2)*4+FLOOR(H1080/2,1)*6</f>
        <v>12</v>
      </c>
      <c r="J1080" s="12">
        <f>I1080+I1081</f>
        <v>42</v>
      </c>
      <c r="K1080" s="20"/>
      <c r="L1080" s="6" t="str">
        <f>IF(R1080&lt;=12,"有效","无效")</f>
        <v>有效</v>
      </c>
      <c r="M1080" s="31" t="s">
        <v>1825</v>
      </c>
      <c r="N1080" s="32"/>
      <c r="O1080" s="32"/>
      <c r="P1080" s="32"/>
      <c r="Q1080" s="33"/>
      <c r="R1080" s="10">
        <f>LEN(M1080)</f>
        <v>5</v>
      </c>
      <c r="S1080" s="10">
        <f>MOD(R1080,2)*4+FLOOR(R1080/2,1)*6</f>
        <v>16</v>
      </c>
      <c r="T1080" s="12">
        <f>S1080+S1081</f>
        <v>34</v>
      </c>
    </row>
    <row r="1081" spans="1:20" ht="20" customHeight="1">
      <c r="A1081" s="22"/>
      <c r="B1081" s="6" t="str">
        <f>IF(H1081&lt;=12,"有效","无效")</f>
        <v>有效</v>
      </c>
      <c r="C1081" s="31" t="s">
        <v>1822</v>
      </c>
      <c r="D1081" s="32"/>
      <c r="E1081" s="32"/>
      <c r="F1081" s="32"/>
      <c r="G1081" s="33"/>
      <c r="H1081" s="4">
        <f>LEN(C1081)</f>
        <v>10</v>
      </c>
      <c r="I1081" s="11">
        <f>MOD(H1081,2)*4+FLOOR(H1081/2,1)*6</f>
        <v>30</v>
      </c>
      <c r="J1081" s="12" t="str">
        <f>IF(J1080&lt;I1077,"有效","无效")</f>
        <v>有效</v>
      </c>
      <c r="K1081" s="20"/>
      <c r="L1081" s="6" t="str">
        <f>IF(R1081&lt;=12,"有效","无效")</f>
        <v>有效</v>
      </c>
      <c r="M1081" s="31" t="s">
        <v>1826</v>
      </c>
      <c r="N1081" s="32"/>
      <c r="O1081" s="32"/>
      <c r="P1081" s="32"/>
      <c r="Q1081" s="33"/>
      <c r="R1081" s="10">
        <f>LEN(M1081)</f>
        <v>6</v>
      </c>
      <c r="S1081" s="10">
        <f>MOD(R1081,2)*4+FLOOR(R1081/2,1)*6</f>
        <v>18</v>
      </c>
      <c r="T1081" s="12" t="str">
        <f>IF(T1080&lt;I1077,"有效","无效")</f>
        <v>有效</v>
      </c>
    </row>
    <row r="1082" spans="1:20" ht="20" customHeight="1">
      <c r="A1082" s="22">
        <v>217</v>
      </c>
      <c r="B1082" s="23" t="s">
        <v>353</v>
      </c>
      <c r="C1082" s="24" t="s">
        <v>354</v>
      </c>
      <c r="D1082" s="14">
        <f>LEN($B1082)</f>
        <v>3</v>
      </c>
      <c r="E1082" s="14">
        <f>LEN(C1082)+3</f>
        <v>5</v>
      </c>
      <c r="F1082" s="14">
        <f>MOD(D1082,2)*4+FLOOR(D1082/2,1)*6</f>
        <v>10</v>
      </c>
      <c r="G1082" s="14">
        <f>MOD(E1082,2)*4+FLOOR(E1082/2,1)*6</f>
        <v>16</v>
      </c>
      <c r="H1082" s="14">
        <v>12</v>
      </c>
      <c r="I1082" s="14">
        <f>108-H1082-G1082-F1082</f>
        <v>70</v>
      </c>
    </row>
    <row r="1083" spans="1:20" ht="20" customHeight="1">
      <c r="A1083" s="22"/>
      <c r="B1083" s="6" t="str">
        <f>IF(H1083&lt;=12,"有效","无效")</f>
        <v>有效</v>
      </c>
      <c r="C1083" s="34" t="s">
        <v>1827</v>
      </c>
      <c r="D1083" s="35"/>
      <c r="E1083" s="35"/>
      <c r="F1083" s="35"/>
      <c r="G1083" s="36"/>
      <c r="H1083" s="4">
        <f>LEN(C1083)</f>
        <v>9</v>
      </c>
      <c r="I1083" s="11">
        <f>MOD(H1083,2)*4+FLOOR(H1083/2,1)*6</f>
        <v>28</v>
      </c>
      <c r="J1083" s="12">
        <f>I1083+I1084</f>
        <v>52</v>
      </c>
      <c r="K1083" s="20"/>
      <c r="L1083" s="13" t="str">
        <f>IF(R1083&lt;=12,"有效","无效")</f>
        <v>有效</v>
      </c>
      <c r="M1083" s="32" t="s">
        <v>2399</v>
      </c>
      <c r="N1083" s="32"/>
      <c r="O1083" s="32"/>
      <c r="P1083" s="32"/>
      <c r="Q1083" s="33"/>
      <c r="R1083" s="10">
        <f>LEN(M1083)</f>
        <v>11</v>
      </c>
      <c r="S1083" s="10">
        <f>MOD(R1083,2)*4+FLOOR(R1083/2,1)*6</f>
        <v>34</v>
      </c>
      <c r="T1083" s="12">
        <f>S1083+S1084</f>
        <v>68</v>
      </c>
    </row>
    <row r="1084" spans="1:20" ht="20" customHeight="1">
      <c r="A1084" s="22"/>
      <c r="B1084" s="6" t="str">
        <f>IF(H1084&lt;=12,"有效","无效")</f>
        <v>有效</v>
      </c>
      <c r="C1084" s="34" t="s">
        <v>2225</v>
      </c>
      <c r="D1084" s="35"/>
      <c r="E1084" s="35"/>
      <c r="F1084" s="35"/>
      <c r="G1084" s="36"/>
      <c r="H1084" s="4">
        <f>LEN(C1084)</f>
        <v>8</v>
      </c>
      <c r="I1084" s="11">
        <f>MOD(H1084,2)*4+FLOOR(H1084/2,1)*6</f>
        <v>24</v>
      </c>
      <c r="J1084" s="12" t="str">
        <f>IF(J1083&lt;I1082,"有效","无效")</f>
        <v>有效</v>
      </c>
      <c r="K1084" s="20"/>
      <c r="L1084" s="6" t="str">
        <f>IF(R1084&lt;=12,"有效","无效")</f>
        <v>有效</v>
      </c>
      <c r="M1084" s="31" t="s">
        <v>2398</v>
      </c>
      <c r="N1084" s="32"/>
      <c r="O1084" s="32"/>
      <c r="P1084" s="32"/>
      <c r="Q1084" s="33"/>
      <c r="R1084" s="10">
        <f>LEN(M1084)</f>
        <v>11</v>
      </c>
      <c r="S1084" s="10">
        <f>MOD(R1084,2)*4+FLOOR(R1084/2,1)*6</f>
        <v>34</v>
      </c>
      <c r="T1084" s="12" t="str">
        <f>IF(T1083&lt;I1082,"有效","无效")</f>
        <v>有效</v>
      </c>
    </row>
    <row r="1085" spans="1:20" ht="20" customHeight="1">
      <c r="A1085" s="22"/>
      <c r="B1085" s="6" t="str">
        <f>IF(H1085&lt;=12,"有效","无效")</f>
        <v>有效</v>
      </c>
      <c r="C1085" s="34" t="s">
        <v>2224</v>
      </c>
      <c r="D1085" s="35"/>
      <c r="E1085" s="35"/>
      <c r="F1085" s="35"/>
      <c r="G1085" s="36"/>
      <c r="H1085" s="4">
        <f>LEN(C1085)</f>
        <v>6</v>
      </c>
      <c r="I1085" s="11">
        <f>MOD(H1085,2)*4+FLOOR(H1085/2,1)*6</f>
        <v>18</v>
      </c>
      <c r="J1085" s="12">
        <f>I1085+I1086</f>
        <v>42</v>
      </c>
      <c r="K1085" s="20"/>
      <c r="L1085" s="6" t="str">
        <f>IF(R1085&lt;=12,"有效","无效")</f>
        <v>有效</v>
      </c>
      <c r="M1085" s="31" t="s">
        <v>2366</v>
      </c>
      <c r="N1085" s="32"/>
      <c r="O1085" s="32"/>
      <c r="P1085" s="32"/>
      <c r="Q1085" s="33"/>
      <c r="R1085" s="10">
        <f>LEN(M1085)</f>
        <v>3</v>
      </c>
      <c r="S1085" s="10">
        <f>MOD(R1085,2)*4+FLOOR(R1085/2,1)*6</f>
        <v>10</v>
      </c>
      <c r="T1085" s="12">
        <f>S1085+S1086</f>
        <v>38</v>
      </c>
    </row>
    <row r="1086" spans="1:20" ht="20" customHeight="1">
      <c r="A1086" s="22"/>
      <c r="B1086" s="6" t="str">
        <f>IF(H1086&lt;=12,"有效","无效")</f>
        <v>有效</v>
      </c>
      <c r="C1086" s="34" t="s">
        <v>1828</v>
      </c>
      <c r="D1086" s="35"/>
      <c r="E1086" s="35"/>
      <c r="F1086" s="35"/>
      <c r="G1086" s="36"/>
      <c r="H1086" s="4">
        <f>LEN(C1086)</f>
        <v>8</v>
      </c>
      <c r="I1086" s="11">
        <f>MOD(H1086,2)*4+FLOOR(H1086/2,1)*6</f>
        <v>24</v>
      </c>
      <c r="J1086" s="12" t="str">
        <f>IF(J1085&lt;I1082,"有效","无效")</f>
        <v>有效</v>
      </c>
      <c r="K1086" s="20"/>
      <c r="L1086" s="6" t="str">
        <f>IF(R1086&lt;=12,"有效","无效")</f>
        <v>有效</v>
      </c>
      <c r="M1086" s="31" t="s">
        <v>2365</v>
      </c>
      <c r="N1086" s="32"/>
      <c r="O1086" s="32"/>
      <c r="P1086" s="32"/>
      <c r="Q1086" s="33"/>
      <c r="R1086" s="10">
        <f>LEN(M1086)</f>
        <v>9</v>
      </c>
      <c r="S1086" s="10">
        <f>MOD(R1086,2)*4+FLOOR(R1086/2,1)*6</f>
        <v>28</v>
      </c>
      <c r="T1086" s="12" t="str">
        <f>IF(T1085&lt;I1082,"有效","无效")</f>
        <v>有效</v>
      </c>
    </row>
    <row r="1087" spans="1:20" ht="20" customHeight="1">
      <c r="A1087" s="22">
        <v>218</v>
      </c>
      <c r="B1087" s="23" t="s">
        <v>355</v>
      </c>
      <c r="C1087" s="24" t="s">
        <v>356</v>
      </c>
      <c r="D1087" s="14">
        <f>LEN($B1087)</f>
        <v>3</v>
      </c>
      <c r="E1087" s="14">
        <f>LEN(C1087)+3</f>
        <v>5</v>
      </c>
      <c r="F1087" s="14">
        <f>MOD(D1087,2)*4+FLOOR(D1087/2,1)*6</f>
        <v>10</v>
      </c>
      <c r="G1087" s="14">
        <f>MOD(E1087,2)*4+FLOOR(E1087/2,1)*6</f>
        <v>16</v>
      </c>
      <c r="H1087" s="14">
        <v>12</v>
      </c>
      <c r="I1087" s="14">
        <f>108-H1087-G1087-F1087</f>
        <v>70</v>
      </c>
    </row>
    <row r="1088" spans="1:20" ht="20" customHeight="1">
      <c r="A1088" s="22"/>
      <c r="B1088" s="6" t="str">
        <f>IF(H1088&lt;=12,"有效","无效")</f>
        <v>有效</v>
      </c>
      <c r="C1088" s="34" t="s">
        <v>2228</v>
      </c>
      <c r="D1088" s="35"/>
      <c r="E1088" s="35"/>
      <c r="F1088" s="35"/>
      <c r="G1088" s="36"/>
      <c r="H1088" s="4">
        <f>LEN(C1088)</f>
        <v>12</v>
      </c>
      <c r="I1088" s="11">
        <f>MOD(H1088,2)*4+FLOOR(H1088/2,1)*6</f>
        <v>36</v>
      </c>
      <c r="J1088" s="12">
        <f>I1088+I1089</f>
        <v>66</v>
      </c>
      <c r="K1088" s="20"/>
      <c r="L1088" s="13" t="str">
        <f>IF(R1088&lt;=12,"有效","无效")</f>
        <v>有效</v>
      </c>
      <c r="M1088" s="32" t="s">
        <v>1829</v>
      </c>
      <c r="N1088" s="32"/>
      <c r="O1088" s="32"/>
      <c r="P1088" s="32"/>
      <c r="Q1088" s="33"/>
      <c r="R1088" s="10">
        <f>LEN(M1088)</f>
        <v>5</v>
      </c>
      <c r="S1088" s="10">
        <f>MOD(R1088,2)*4+FLOOR(R1088/2,1)*6</f>
        <v>16</v>
      </c>
      <c r="T1088" s="12">
        <f>S1088+S1089</f>
        <v>32</v>
      </c>
    </row>
    <row r="1089" spans="1:20" ht="20" customHeight="1">
      <c r="A1089" s="22"/>
      <c r="B1089" s="6" t="str">
        <f>IF(H1089&lt;=12,"有效","无效")</f>
        <v>有效</v>
      </c>
      <c r="C1089" s="34" t="s">
        <v>2229</v>
      </c>
      <c r="D1089" s="35"/>
      <c r="E1089" s="35"/>
      <c r="F1089" s="35"/>
      <c r="G1089" s="36"/>
      <c r="H1089" s="4">
        <f>LEN(C1089)</f>
        <v>10</v>
      </c>
      <c r="I1089" s="11">
        <f>MOD(H1089,2)*4+FLOOR(H1089/2,1)*6</f>
        <v>30</v>
      </c>
      <c r="J1089" s="12" t="str">
        <f>IF(J1088&lt;I1087,"有效","无效")</f>
        <v>有效</v>
      </c>
      <c r="K1089" s="20"/>
      <c r="L1089" s="6" t="str">
        <f>IF(R1089&lt;=12,"有效","无效")</f>
        <v>有效</v>
      </c>
      <c r="M1089" s="31" t="s">
        <v>1830</v>
      </c>
      <c r="N1089" s="32"/>
      <c r="O1089" s="32"/>
      <c r="P1089" s="32"/>
      <c r="Q1089" s="33"/>
      <c r="R1089" s="10">
        <f>LEN(M1089)</f>
        <v>5</v>
      </c>
      <c r="S1089" s="10">
        <f>MOD(R1089,2)*4+FLOOR(R1089/2,1)*6</f>
        <v>16</v>
      </c>
      <c r="T1089" s="12" t="str">
        <f>IF(T1088&lt;I1087,"有效","无效")</f>
        <v>有效</v>
      </c>
    </row>
    <row r="1090" spans="1:20" ht="20" customHeight="1">
      <c r="A1090" s="22"/>
      <c r="B1090" s="6" t="str">
        <f>IF(H1090&lt;=12,"有效","无效")</f>
        <v>有效</v>
      </c>
      <c r="C1090" s="34" t="s">
        <v>2227</v>
      </c>
      <c r="D1090" s="35"/>
      <c r="E1090" s="35"/>
      <c r="F1090" s="35"/>
      <c r="G1090" s="36"/>
      <c r="H1090" s="4">
        <f>LEN(C1090)</f>
        <v>8</v>
      </c>
      <c r="I1090" s="11">
        <f>MOD(H1090,2)*4+FLOOR(H1090/2,1)*6</f>
        <v>24</v>
      </c>
      <c r="J1090" s="12">
        <f>I1090+I1091</f>
        <v>40</v>
      </c>
      <c r="K1090" s="20"/>
      <c r="L1090" s="6" t="str">
        <f>IF(R1090&lt;=12,"有效","无效")</f>
        <v>有效</v>
      </c>
      <c r="M1090" s="31" t="s">
        <v>1831</v>
      </c>
      <c r="N1090" s="32"/>
      <c r="O1090" s="32"/>
      <c r="P1090" s="32"/>
      <c r="Q1090" s="33"/>
      <c r="R1090" s="10">
        <f>LEN(M1090)</f>
        <v>10</v>
      </c>
      <c r="S1090" s="10">
        <f>MOD(R1090,2)*4+FLOOR(R1090/2,1)*6</f>
        <v>30</v>
      </c>
      <c r="T1090" s="12">
        <f>S1090+S1091</f>
        <v>60</v>
      </c>
    </row>
    <row r="1091" spans="1:20" ht="20" customHeight="1">
      <c r="A1091" s="22"/>
      <c r="B1091" s="6" t="str">
        <f>IF(H1091&lt;=12,"有效","无效")</f>
        <v>有效</v>
      </c>
      <c r="C1091" s="34" t="s">
        <v>2226</v>
      </c>
      <c r="D1091" s="35"/>
      <c r="E1091" s="35"/>
      <c r="F1091" s="35"/>
      <c r="G1091" s="36"/>
      <c r="H1091" s="4">
        <f>LEN(C1091)</f>
        <v>5</v>
      </c>
      <c r="I1091" s="11">
        <f>MOD(H1091,2)*4+FLOOR(H1091/2,1)*6</f>
        <v>16</v>
      </c>
      <c r="J1091" s="12" t="str">
        <f>IF(J1090&lt;I1087,"有效","无效")</f>
        <v>有效</v>
      </c>
      <c r="K1091" s="20"/>
      <c r="L1091" s="6" t="str">
        <f>IF(R1091&lt;=12,"有效","无效")</f>
        <v>有效</v>
      </c>
      <c r="M1091" s="31" t="s">
        <v>1832</v>
      </c>
      <c r="N1091" s="32"/>
      <c r="O1091" s="32"/>
      <c r="P1091" s="32"/>
      <c r="Q1091" s="33"/>
      <c r="R1091" s="10">
        <f>LEN(M1091)</f>
        <v>10</v>
      </c>
      <c r="S1091" s="10">
        <f>MOD(R1091,2)*4+FLOOR(R1091/2,1)*6</f>
        <v>30</v>
      </c>
      <c r="T1091" s="12" t="str">
        <f>IF(T1090&lt;I1087,"有效","无效")</f>
        <v>有效</v>
      </c>
    </row>
    <row r="1092" spans="1:20" ht="20" customHeight="1">
      <c r="A1092" s="22">
        <v>219</v>
      </c>
      <c r="B1092" s="23" t="s">
        <v>357</v>
      </c>
      <c r="C1092" s="24" t="s">
        <v>356</v>
      </c>
      <c r="D1092" s="14">
        <f>LEN($B1092)</f>
        <v>4</v>
      </c>
      <c r="E1092" s="14">
        <f>LEN(C1092)+3</f>
        <v>5</v>
      </c>
      <c r="F1092" s="14">
        <f>MOD(D1092,2)*4+FLOOR(D1092/2,1)*6</f>
        <v>12</v>
      </c>
      <c r="G1092" s="14">
        <f>MOD(E1092,2)*4+FLOOR(E1092/2,1)*6</f>
        <v>16</v>
      </c>
      <c r="H1092" s="14">
        <v>12</v>
      </c>
      <c r="I1092" s="14">
        <f>108-H1092-G1092-F1092</f>
        <v>68</v>
      </c>
    </row>
    <row r="1093" spans="1:20" ht="20" customHeight="1">
      <c r="A1093" s="22"/>
      <c r="B1093" s="6" t="str">
        <f>IF(H1093&lt;=12,"有效","无效")</f>
        <v>有效</v>
      </c>
      <c r="C1093" s="34" t="s">
        <v>1833</v>
      </c>
      <c r="D1093" s="35"/>
      <c r="E1093" s="35"/>
      <c r="F1093" s="35"/>
      <c r="G1093" s="36"/>
      <c r="H1093" s="4">
        <f>LEN(C1093)</f>
        <v>6</v>
      </c>
      <c r="I1093" s="11">
        <f>MOD(H1093,2)*4+FLOOR(H1093/2,1)*6</f>
        <v>18</v>
      </c>
      <c r="J1093" s="12">
        <f>I1093+I1094</f>
        <v>48</v>
      </c>
      <c r="K1093" s="20"/>
      <c r="L1093" s="13" t="str">
        <f>IF(R1093&lt;=12,"有效","无效")</f>
        <v>有效</v>
      </c>
      <c r="M1093" s="32" t="s">
        <v>2368</v>
      </c>
      <c r="N1093" s="32"/>
      <c r="O1093" s="32"/>
      <c r="P1093" s="32"/>
      <c r="Q1093" s="33"/>
      <c r="R1093" s="10">
        <f>LEN(M1093)</f>
        <v>4</v>
      </c>
      <c r="S1093" s="10">
        <f>MOD(R1093,2)*4+FLOOR(R1093/2,1)*6</f>
        <v>12</v>
      </c>
      <c r="T1093" s="12">
        <f>S1093+S1094</f>
        <v>30</v>
      </c>
    </row>
    <row r="1094" spans="1:20" ht="20" customHeight="1">
      <c r="A1094" s="22"/>
      <c r="B1094" s="6" t="str">
        <f>IF(H1094&lt;=12,"有效","无效")</f>
        <v>有效</v>
      </c>
      <c r="C1094" s="34" t="s">
        <v>1834</v>
      </c>
      <c r="D1094" s="35"/>
      <c r="E1094" s="35"/>
      <c r="F1094" s="35"/>
      <c r="G1094" s="36"/>
      <c r="H1094" s="4">
        <f>LEN(C1094)</f>
        <v>10</v>
      </c>
      <c r="I1094" s="11">
        <f>MOD(H1094,2)*4+FLOOR(H1094/2,1)*6</f>
        <v>30</v>
      </c>
      <c r="J1094" s="12" t="str">
        <f>IF(J1093&lt;I1092,"有效","无效")</f>
        <v>有效</v>
      </c>
      <c r="K1094" s="20"/>
      <c r="L1094" s="6" t="str">
        <f>IF(R1094&lt;=12,"有效","无效")</f>
        <v>有效</v>
      </c>
      <c r="M1094" s="31" t="s">
        <v>2369</v>
      </c>
      <c r="N1094" s="32"/>
      <c r="O1094" s="32"/>
      <c r="P1094" s="32"/>
      <c r="Q1094" s="33"/>
      <c r="R1094" s="10">
        <f>LEN(M1094)</f>
        <v>6</v>
      </c>
      <c r="S1094" s="10">
        <f>MOD(R1094,2)*4+FLOOR(R1094/2,1)*6</f>
        <v>18</v>
      </c>
      <c r="T1094" s="12" t="str">
        <f>IF(T1093&lt;I1092,"有效","无效")</f>
        <v>有效</v>
      </c>
    </row>
    <row r="1095" spans="1:20" ht="20" customHeight="1">
      <c r="A1095" s="22"/>
      <c r="B1095" s="6" t="str">
        <f>IF(H1095&lt;=12,"有效","无效")</f>
        <v>有效</v>
      </c>
      <c r="C1095" s="34" t="s">
        <v>1835</v>
      </c>
      <c r="D1095" s="35"/>
      <c r="E1095" s="35"/>
      <c r="F1095" s="35"/>
      <c r="G1095" s="36"/>
      <c r="H1095" s="4">
        <f>LEN(C1095)</f>
        <v>7</v>
      </c>
      <c r="I1095" s="11">
        <f>MOD(H1095,2)*4+FLOOR(H1095/2,1)*6</f>
        <v>22</v>
      </c>
      <c r="J1095" s="12">
        <f>I1095+I1096</f>
        <v>46</v>
      </c>
      <c r="K1095" s="20"/>
      <c r="L1095" s="6" t="str">
        <f>IF(R1095&lt;=12,"有效","无效")</f>
        <v>有效</v>
      </c>
      <c r="M1095" s="31" t="s">
        <v>2367</v>
      </c>
      <c r="N1095" s="32"/>
      <c r="O1095" s="32"/>
      <c r="P1095" s="32"/>
      <c r="Q1095" s="33"/>
      <c r="R1095" s="10">
        <f>LEN(M1095)</f>
        <v>11</v>
      </c>
      <c r="S1095" s="10">
        <f>MOD(R1095,2)*4+FLOOR(R1095/2,1)*6</f>
        <v>34</v>
      </c>
      <c r="T1095" s="12">
        <f>S1095+S1096</f>
        <v>62</v>
      </c>
    </row>
    <row r="1096" spans="1:20" ht="20" customHeight="1">
      <c r="A1096" s="22"/>
      <c r="B1096" s="6" t="str">
        <f>IF(H1096&lt;=12,"有效","无效")</f>
        <v>有效</v>
      </c>
      <c r="C1096" s="34" t="s">
        <v>1836</v>
      </c>
      <c r="D1096" s="35"/>
      <c r="E1096" s="35"/>
      <c r="F1096" s="35"/>
      <c r="G1096" s="36"/>
      <c r="H1096" s="4">
        <f>LEN(C1096)</f>
        <v>8</v>
      </c>
      <c r="I1096" s="11">
        <f>MOD(H1096,2)*4+FLOOR(H1096/2,1)*6</f>
        <v>24</v>
      </c>
      <c r="J1096" s="12" t="str">
        <f>IF(J1095&lt;I1092,"有效","无效")</f>
        <v>有效</v>
      </c>
      <c r="K1096" s="20"/>
      <c r="L1096" s="6" t="str">
        <f>IF(R1096&lt;=12,"有效","无效")</f>
        <v>有效</v>
      </c>
      <c r="M1096" s="31" t="s">
        <v>1837</v>
      </c>
      <c r="N1096" s="32"/>
      <c r="O1096" s="32"/>
      <c r="P1096" s="32"/>
      <c r="Q1096" s="33"/>
      <c r="R1096" s="10">
        <f>LEN(M1096)</f>
        <v>9</v>
      </c>
      <c r="S1096" s="10">
        <f>MOD(R1096,2)*4+FLOOR(R1096/2,1)*6</f>
        <v>28</v>
      </c>
      <c r="T1096" s="12" t="str">
        <f>IF(T1095&lt;I1092,"有效","无效")</f>
        <v>有效</v>
      </c>
    </row>
    <row r="1097" spans="1:20" ht="20" customHeight="1">
      <c r="A1097" s="22">
        <v>220</v>
      </c>
      <c r="B1097" s="23" t="s">
        <v>358</v>
      </c>
      <c r="C1097" s="24" t="s">
        <v>359</v>
      </c>
      <c r="D1097" s="14">
        <f>LEN($B1097)</f>
        <v>3</v>
      </c>
      <c r="E1097" s="14">
        <f>LEN(C1097)+3</f>
        <v>5</v>
      </c>
      <c r="F1097" s="14">
        <f>MOD(D1097,2)*4+FLOOR(D1097/2,1)*6</f>
        <v>10</v>
      </c>
      <c r="G1097" s="14">
        <f>MOD(E1097,2)*4+FLOOR(E1097/2,1)*6</f>
        <v>16</v>
      </c>
      <c r="H1097" s="14">
        <v>12</v>
      </c>
      <c r="I1097" s="14">
        <f>108-H1097-G1097-F1097</f>
        <v>70</v>
      </c>
    </row>
    <row r="1098" spans="1:20" ht="20" customHeight="1">
      <c r="A1098" s="22"/>
      <c r="B1098" s="6" t="str">
        <f>IF(H1098&lt;=12,"有效","无效")</f>
        <v>有效</v>
      </c>
      <c r="C1098" s="31" t="s">
        <v>2230</v>
      </c>
      <c r="D1098" s="32"/>
      <c r="E1098" s="32"/>
      <c r="F1098" s="32"/>
      <c r="G1098" s="33"/>
      <c r="H1098" s="4">
        <f>LEN(C1098)</f>
        <v>9</v>
      </c>
      <c r="I1098" s="11">
        <f>MOD(H1098,2)*4+FLOOR(H1098/2,1)*6</f>
        <v>28</v>
      </c>
      <c r="J1098" s="12">
        <f>I1098+I1099</f>
        <v>64</v>
      </c>
      <c r="K1098" s="20"/>
      <c r="L1098" s="13" t="str">
        <f>IF(R1098&lt;=12,"有效","无效")</f>
        <v>有效</v>
      </c>
      <c r="M1098" s="32" t="s">
        <v>2372</v>
      </c>
      <c r="N1098" s="32"/>
      <c r="O1098" s="32"/>
      <c r="P1098" s="32"/>
      <c r="Q1098" s="33"/>
      <c r="R1098" s="10">
        <f>LEN(M1098)</f>
        <v>5</v>
      </c>
      <c r="S1098" s="10">
        <f>MOD(R1098,2)*4+FLOOR(R1098/2,1)*6</f>
        <v>16</v>
      </c>
      <c r="T1098" s="12">
        <f>S1098+S1099</f>
        <v>28</v>
      </c>
    </row>
    <row r="1099" spans="1:20" ht="20" customHeight="1">
      <c r="A1099" s="22"/>
      <c r="B1099" s="6" t="str">
        <f>IF(H1099&lt;=12,"有效","无效")</f>
        <v>有效</v>
      </c>
      <c r="C1099" s="31" t="s">
        <v>2231</v>
      </c>
      <c r="D1099" s="32"/>
      <c r="E1099" s="32"/>
      <c r="F1099" s="32"/>
      <c r="G1099" s="33"/>
      <c r="H1099" s="4">
        <f>LEN(C1099)</f>
        <v>12</v>
      </c>
      <c r="I1099" s="11">
        <f>MOD(H1099,2)*4+FLOOR(H1099/2,1)*6</f>
        <v>36</v>
      </c>
      <c r="J1099" s="12" t="str">
        <f>IF(J1098&lt;I1097,"有效","无效")</f>
        <v>有效</v>
      </c>
      <c r="K1099" s="20"/>
      <c r="L1099" s="6" t="str">
        <f>IF(R1099&lt;=12,"有效","无效")</f>
        <v>有效</v>
      </c>
      <c r="M1099" s="31" t="s">
        <v>2373</v>
      </c>
      <c r="N1099" s="32"/>
      <c r="O1099" s="32"/>
      <c r="P1099" s="32"/>
      <c r="Q1099" s="33"/>
      <c r="R1099" s="10">
        <f>LEN(M1099)</f>
        <v>4</v>
      </c>
      <c r="S1099" s="10">
        <f>MOD(R1099,2)*4+FLOOR(R1099/2,1)*6</f>
        <v>12</v>
      </c>
      <c r="T1099" s="12" t="str">
        <f>IF(T1098&lt;I1097,"有效","无效")</f>
        <v>有效</v>
      </c>
    </row>
    <row r="1100" spans="1:20" ht="20" customHeight="1">
      <c r="A1100" s="22"/>
      <c r="B1100" s="6" t="str">
        <f>IF(H1100&lt;=12,"有效","无效")</f>
        <v>有效</v>
      </c>
      <c r="C1100" s="31" t="s">
        <v>2233</v>
      </c>
      <c r="D1100" s="32"/>
      <c r="E1100" s="32"/>
      <c r="F1100" s="32"/>
      <c r="G1100" s="33"/>
      <c r="H1100" s="4">
        <f>LEN(C1100)</f>
        <v>3</v>
      </c>
      <c r="I1100" s="11">
        <f>MOD(H1100,2)*4+FLOOR(H1100/2,1)*6</f>
        <v>10</v>
      </c>
      <c r="J1100" s="12">
        <f>I1100+I1101</f>
        <v>26</v>
      </c>
      <c r="K1100" s="20"/>
      <c r="L1100" s="6" t="str">
        <f>IF(R1100&lt;=12,"有效","无效")</f>
        <v>有效</v>
      </c>
      <c r="M1100" s="31" t="s">
        <v>2370</v>
      </c>
      <c r="N1100" s="32"/>
      <c r="O1100" s="32"/>
      <c r="P1100" s="32"/>
      <c r="Q1100" s="33"/>
      <c r="R1100" s="10">
        <f>LEN(M1100)</f>
        <v>12</v>
      </c>
      <c r="S1100" s="10">
        <f>MOD(R1100,2)*4+FLOOR(R1100/2,1)*6</f>
        <v>36</v>
      </c>
      <c r="T1100" s="12">
        <f>S1100+S1101</f>
        <v>58</v>
      </c>
    </row>
    <row r="1101" spans="1:20" ht="20" customHeight="1">
      <c r="A1101" s="22"/>
      <c r="B1101" s="6" t="str">
        <f>IF(H1101&lt;=12,"有效","无效")</f>
        <v>有效</v>
      </c>
      <c r="C1101" s="31" t="s">
        <v>2232</v>
      </c>
      <c r="D1101" s="32"/>
      <c r="E1101" s="32"/>
      <c r="F1101" s="32"/>
      <c r="G1101" s="33"/>
      <c r="H1101" s="4">
        <f>LEN(C1101)</f>
        <v>5</v>
      </c>
      <c r="I1101" s="11">
        <f>MOD(H1101,2)*4+FLOOR(H1101/2,1)*6</f>
        <v>16</v>
      </c>
      <c r="J1101" s="12" t="str">
        <f>IF(J1100&lt;I1097,"有效","无效")</f>
        <v>有效</v>
      </c>
      <c r="K1101" s="20"/>
      <c r="L1101" s="6" t="str">
        <f>IF(R1101&lt;=12,"有效","无效")</f>
        <v>有效</v>
      </c>
      <c r="M1101" s="31" t="s">
        <v>2371</v>
      </c>
      <c r="N1101" s="32"/>
      <c r="O1101" s="32"/>
      <c r="P1101" s="32"/>
      <c r="Q1101" s="33"/>
      <c r="R1101" s="10">
        <f>LEN(M1101)</f>
        <v>7</v>
      </c>
      <c r="S1101" s="10">
        <f>MOD(R1101,2)*4+FLOOR(R1101/2,1)*6</f>
        <v>22</v>
      </c>
      <c r="T1101" s="12" t="str">
        <f>IF(T1100&lt;I1097,"有效","无效")</f>
        <v>有效</v>
      </c>
    </row>
    <row r="1102" spans="1:20" ht="20" customHeight="1">
      <c r="A1102" s="22">
        <v>221</v>
      </c>
      <c r="B1102" s="23" t="s">
        <v>360</v>
      </c>
      <c r="C1102" s="24" t="s">
        <v>361</v>
      </c>
      <c r="D1102" s="14">
        <f>LEN($B1102)</f>
        <v>3</v>
      </c>
      <c r="E1102" s="14">
        <f>LEN(C1102)+3</f>
        <v>5</v>
      </c>
      <c r="F1102" s="14">
        <f>MOD(D1102,2)*4+FLOOR(D1102/2,1)*6</f>
        <v>10</v>
      </c>
      <c r="G1102" s="14">
        <f>MOD(E1102,2)*4+FLOOR(E1102/2,1)*6</f>
        <v>16</v>
      </c>
      <c r="H1102" s="14">
        <v>12</v>
      </c>
      <c r="I1102" s="14">
        <f>108-H1102-G1102-F1102</f>
        <v>70</v>
      </c>
    </row>
    <row r="1103" spans="1:20" ht="20" customHeight="1">
      <c r="A1103" s="22"/>
      <c r="B1103" s="6" t="str">
        <f>IF(H1103&lt;=12,"有效","无效")</f>
        <v>有效</v>
      </c>
      <c r="C1103" s="31" t="s">
        <v>1838</v>
      </c>
      <c r="D1103" s="32"/>
      <c r="E1103" s="32"/>
      <c r="F1103" s="32"/>
      <c r="G1103" s="33"/>
      <c r="H1103" s="4">
        <f>LEN(C1103)</f>
        <v>6</v>
      </c>
      <c r="I1103" s="11">
        <f>MOD(H1103,2)*4+FLOOR(H1103/2,1)*6</f>
        <v>18</v>
      </c>
      <c r="J1103" s="12">
        <f>I1103+I1104</f>
        <v>36</v>
      </c>
      <c r="K1103" s="20"/>
      <c r="L1103" s="13" t="str">
        <f>IF(R1103&lt;=12,"有效","无效")</f>
        <v>有效</v>
      </c>
      <c r="M1103" s="32" t="s">
        <v>1842</v>
      </c>
      <c r="N1103" s="32"/>
      <c r="O1103" s="32"/>
      <c r="P1103" s="32"/>
      <c r="Q1103" s="33"/>
      <c r="R1103" s="10">
        <f>LEN(M1103)</f>
        <v>9</v>
      </c>
      <c r="S1103" s="10">
        <f>MOD(R1103,2)*4+FLOOR(R1103/2,1)*6</f>
        <v>28</v>
      </c>
      <c r="T1103" s="12">
        <f>S1103+S1104</f>
        <v>62</v>
      </c>
    </row>
    <row r="1104" spans="1:20" ht="20" customHeight="1">
      <c r="A1104" s="22"/>
      <c r="B1104" s="6" t="str">
        <f>IF(H1104&lt;=12,"有效","无效")</f>
        <v>有效</v>
      </c>
      <c r="C1104" s="31" t="s">
        <v>1839</v>
      </c>
      <c r="D1104" s="32"/>
      <c r="E1104" s="32"/>
      <c r="F1104" s="32"/>
      <c r="G1104" s="33"/>
      <c r="H1104" s="4">
        <f>LEN(C1104)</f>
        <v>6</v>
      </c>
      <c r="I1104" s="11">
        <f>MOD(H1104,2)*4+FLOOR(H1104/2,1)*6</f>
        <v>18</v>
      </c>
      <c r="J1104" s="12" t="str">
        <f>IF(J1103&lt;I1102,"有效","无效")</f>
        <v>有效</v>
      </c>
      <c r="K1104" s="20"/>
      <c r="L1104" s="6" t="str">
        <f>IF(R1104&lt;=12,"有效","无效")</f>
        <v>有效</v>
      </c>
      <c r="M1104" s="31" t="s">
        <v>2374</v>
      </c>
      <c r="N1104" s="32"/>
      <c r="O1104" s="32"/>
      <c r="P1104" s="32"/>
      <c r="Q1104" s="33"/>
      <c r="R1104" s="10">
        <f>LEN(M1104)</f>
        <v>11</v>
      </c>
      <c r="S1104" s="10">
        <f>MOD(R1104,2)*4+FLOOR(R1104/2,1)*6</f>
        <v>34</v>
      </c>
      <c r="T1104" s="12" t="str">
        <f>IF(T1103&lt;I1102,"有效","无效")</f>
        <v>有效</v>
      </c>
    </row>
    <row r="1105" spans="1:20" ht="20" customHeight="1">
      <c r="A1105" s="22"/>
      <c r="B1105" s="6" t="str">
        <f>IF(H1105&lt;=12,"有效","无效")</f>
        <v>有效</v>
      </c>
      <c r="C1105" s="31" t="s">
        <v>1840</v>
      </c>
      <c r="D1105" s="32"/>
      <c r="E1105" s="32"/>
      <c r="F1105" s="32"/>
      <c r="G1105" s="33"/>
      <c r="H1105" s="4">
        <f>LEN(C1105)</f>
        <v>11</v>
      </c>
      <c r="I1105" s="11">
        <f>MOD(H1105,2)*4+FLOOR(H1105/2,1)*6</f>
        <v>34</v>
      </c>
      <c r="J1105" s="12">
        <f>I1105+I1106</f>
        <v>68</v>
      </c>
      <c r="K1105" s="20"/>
      <c r="L1105" s="6" t="str">
        <f>IF(R1105&lt;=12,"有效","无效")</f>
        <v>有效</v>
      </c>
      <c r="M1105" s="31" t="s">
        <v>2376</v>
      </c>
      <c r="N1105" s="32"/>
      <c r="O1105" s="32"/>
      <c r="P1105" s="32"/>
      <c r="Q1105" s="33"/>
      <c r="R1105" s="10">
        <f>LEN(M1105)</f>
        <v>3</v>
      </c>
      <c r="S1105" s="10">
        <f>MOD(R1105,2)*4+FLOOR(R1105/2,1)*6</f>
        <v>10</v>
      </c>
      <c r="T1105" s="12">
        <f>S1105+S1106</f>
        <v>26</v>
      </c>
    </row>
    <row r="1106" spans="1:20" ht="20" customHeight="1">
      <c r="A1106" s="22"/>
      <c r="B1106" s="6" t="str">
        <f>IF(H1106&lt;=12,"有效","无效")</f>
        <v>有效</v>
      </c>
      <c r="C1106" s="31" t="s">
        <v>1841</v>
      </c>
      <c r="D1106" s="32"/>
      <c r="E1106" s="32"/>
      <c r="F1106" s="32"/>
      <c r="G1106" s="33"/>
      <c r="H1106" s="4">
        <f>LEN(C1106)</f>
        <v>11</v>
      </c>
      <c r="I1106" s="11">
        <f>MOD(H1106,2)*4+FLOOR(H1106/2,1)*6</f>
        <v>34</v>
      </c>
      <c r="J1106" s="12" t="str">
        <f>IF(J1105&lt;I1102,"有效","无效")</f>
        <v>有效</v>
      </c>
      <c r="K1106" s="20"/>
      <c r="L1106" s="6" t="str">
        <f>IF(R1106&lt;=12,"有效","无效")</f>
        <v>有效</v>
      </c>
      <c r="M1106" s="31" t="s">
        <v>2375</v>
      </c>
      <c r="N1106" s="32"/>
      <c r="O1106" s="32"/>
      <c r="P1106" s="32"/>
      <c r="Q1106" s="33"/>
      <c r="R1106" s="10">
        <f>LEN(M1106)</f>
        <v>5</v>
      </c>
      <c r="S1106" s="10">
        <f>MOD(R1106,2)*4+FLOOR(R1106/2,1)*6</f>
        <v>16</v>
      </c>
      <c r="T1106" s="12" t="str">
        <f>IF(T1105&lt;I1102,"有效","无效")</f>
        <v>有效</v>
      </c>
    </row>
    <row r="1107" spans="1:20" ht="20" customHeight="1">
      <c r="A1107" s="22">
        <v>222</v>
      </c>
      <c r="B1107" s="23" t="s">
        <v>362</v>
      </c>
      <c r="C1107" s="24" t="s">
        <v>363</v>
      </c>
      <c r="D1107" s="14">
        <f>LEN($B1107)</f>
        <v>4</v>
      </c>
      <c r="E1107" s="14">
        <f>LEN(C1107)+3</f>
        <v>5</v>
      </c>
      <c r="F1107" s="14">
        <f>MOD(D1107,2)*4+FLOOR(D1107/2,1)*6</f>
        <v>12</v>
      </c>
      <c r="G1107" s="14">
        <f>MOD(E1107,2)*4+FLOOR(E1107/2,1)*6</f>
        <v>16</v>
      </c>
      <c r="H1107" s="14">
        <v>12</v>
      </c>
      <c r="I1107" s="14">
        <f>108-H1107-G1107-F1107</f>
        <v>68</v>
      </c>
    </row>
    <row r="1108" spans="1:20" ht="20" customHeight="1">
      <c r="A1108" s="22"/>
      <c r="B1108" s="6" t="str">
        <f>IF(H1108&lt;=12,"有效","无效")</f>
        <v>有效</v>
      </c>
      <c r="C1108" s="31" t="s">
        <v>1843</v>
      </c>
      <c r="D1108" s="32"/>
      <c r="E1108" s="32"/>
      <c r="F1108" s="32"/>
      <c r="G1108" s="33"/>
      <c r="H1108" s="4">
        <f>LEN(C1108)</f>
        <v>10</v>
      </c>
      <c r="I1108" s="11">
        <f>MOD(H1108,2)*4+FLOOR(H1108/2,1)*6</f>
        <v>30</v>
      </c>
      <c r="J1108" s="12">
        <f>I1108+I1109</f>
        <v>64</v>
      </c>
      <c r="K1108" s="20"/>
      <c r="L1108" s="13" t="str">
        <f>IF(R1108&lt;=12,"有效","无效")</f>
        <v>有效</v>
      </c>
      <c r="M1108" s="35" t="s">
        <v>1848</v>
      </c>
      <c r="N1108" s="35"/>
      <c r="O1108" s="35"/>
      <c r="P1108" s="35"/>
      <c r="Q1108" s="36"/>
      <c r="R1108" s="10">
        <f>LEN(M1108)</f>
        <v>4</v>
      </c>
      <c r="S1108" s="10">
        <f>MOD(R1108,2)*4+FLOOR(R1108/2,1)*6</f>
        <v>12</v>
      </c>
      <c r="T1108" s="12">
        <f>S1108+S1109</f>
        <v>28</v>
      </c>
    </row>
    <row r="1109" spans="1:20" ht="20" customHeight="1">
      <c r="A1109" s="22"/>
      <c r="B1109" s="6" t="str">
        <f>IF(H1109&lt;=12,"有效","无效")</f>
        <v>有效</v>
      </c>
      <c r="C1109" s="31" t="s">
        <v>1844</v>
      </c>
      <c r="D1109" s="32"/>
      <c r="E1109" s="32"/>
      <c r="F1109" s="32"/>
      <c r="G1109" s="33"/>
      <c r="H1109" s="4">
        <f>LEN(C1109)</f>
        <v>11</v>
      </c>
      <c r="I1109" s="11">
        <f>MOD(H1109,2)*4+FLOOR(H1109/2,1)*6</f>
        <v>34</v>
      </c>
      <c r="J1109" s="12" t="str">
        <f>IF(J1108&lt;I1107,"有效","无效")</f>
        <v>有效</v>
      </c>
      <c r="K1109" s="20"/>
      <c r="L1109" s="6" t="str">
        <f>IF(R1109&lt;=12,"有效","无效")</f>
        <v>有效</v>
      </c>
      <c r="M1109" s="34" t="s">
        <v>1849</v>
      </c>
      <c r="N1109" s="35"/>
      <c r="O1109" s="35"/>
      <c r="P1109" s="35"/>
      <c r="Q1109" s="36"/>
      <c r="R1109" s="10">
        <f>LEN(M1109)</f>
        <v>5</v>
      </c>
      <c r="S1109" s="10">
        <f>MOD(R1109,2)*4+FLOOR(R1109/2,1)*6</f>
        <v>16</v>
      </c>
      <c r="T1109" s="12" t="str">
        <f>IF(T1108&lt;I1107,"有效","无效")</f>
        <v>有效</v>
      </c>
    </row>
    <row r="1110" spans="1:20" ht="20" customHeight="1">
      <c r="A1110" s="22"/>
      <c r="B1110" s="6" t="str">
        <f>IF(H1110&lt;=12,"有效","无效")</f>
        <v>有效</v>
      </c>
      <c r="C1110" s="31" t="s">
        <v>1845</v>
      </c>
      <c r="D1110" s="32"/>
      <c r="E1110" s="32"/>
      <c r="F1110" s="32"/>
      <c r="G1110" s="33"/>
      <c r="H1110" s="4">
        <f>LEN(C1110)</f>
        <v>11</v>
      </c>
      <c r="I1110" s="11">
        <f>MOD(H1110,2)*4+FLOOR(H1110/2,1)*6</f>
        <v>34</v>
      </c>
      <c r="J1110" s="12">
        <f>I1110+I1111</f>
        <v>68</v>
      </c>
      <c r="K1110" s="20"/>
      <c r="L1110" s="6" t="str">
        <f>IF(R1110&lt;=12,"有效","无效")</f>
        <v>有效</v>
      </c>
      <c r="M1110" s="34" t="s">
        <v>1850</v>
      </c>
      <c r="N1110" s="35"/>
      <c r="O1110" s="35"/>
      <c r="P1110" s="35"/>
      <c r="Q1110" s="36"/>
      <c r="R1110" s="10">
        <f>LEN(M1110)</f>
        <v>9</v>
      </c>
      <c r="S1110" s="10">
        <f>MOD(R1110,2)*4+FLOOR(R1110/2,1)*6</f>
        <v>28</v>
      </c>
      <c r="T1110" s="12">
        <f>S1110+S1111</f>
        <v>56</v>
      </c>
    </row>
    <row r="1111" spans="1:20" ht="20" customHeight="1">
      <c r="A1111" s="22"/>
      <c r="B1111" s="6" t="str">
        <f>IF(H1111&lt;=12,"有效","无效")</f>
        <v>有效</v>
      </c>
      <c r="C1111" s="31" t="s">
        <v>1846</v>
      </c>
      <c r="D1111" s="32"/>
      <c r="E1111" s="32"/>
      <c r="F1111" s="32"/>
      <c r="G1111" s="33"/>
      <c r="H1111" s="4">
        <f>LEN(C1111)</f>
        <v>11</v>
      </c>
      <c r="I1111" s="11">
        <f>MOD(H1111,2)*4+FLOOR(H1111/2,1)*6</f>
        <v>34</v>
      </c>
      <c r="J1111" s="12" t="str">
        <f>IF(J1110&lt;=I1107,"有效","无效")</f>
        <v>有效</v>
      </c>
      <c r="K1111" s="20"/>
      <c r="L1111" s="6" t="str">
        <f>IF(R1111&lt;=12,"有效","无效")</f>
        <v>有效</v>
      </c>
      <c r="M1111" s="34" t="s">
        <v>1851</v>
      </c>
      <c r="N1111" s="35"/>
      <c r="O1111" s="35"/>
      <c r="P1111" s="35"/>
      <c r="Q1111" s="36"/>
      <c r="R1111" s="10">
        <f>LEN(M1111)</f>
        <v>9</v>
      </c>
      <c r="S1111" s="10">
        <f>MOD(R1111,2)*4+FLOOR(R1111/2,1)*6</f>
        <v>28</v>
      </c>
      <c r="T1111" s="12" t="str">
        <f>IF(T1110&lt;I1107,"有效","无效")</f>
        <v>有效</v>
      </c>
    </row>
    <row r="1112" spans="1:20" ht="20" customHeight="1">
      <c r="A1112" s="22">
        <v>223</v>
      </c>
      <c r="B1112" s="23" t="s">
        <v>364</v>
      </c>
      <c r="C1112" s="24" t="s">
        <v>365</v>
      </c>
      <c r="D1112" s="14">
        <f>LEN($B1112)</f>
        <v>3</v>
      </c>
      <c r="E1112" s="14">
        <f>LEN(C1112)+3</f>
        <v>5</v>
      </c>
      <c r="F1112" s="14">
        <f>MOD(D1112,2)*4+FLOOR(D1112/2,1)*6</f>
        <v>10</v>
      </c>
      <c r="G1112" s="14">
        <f>MOD(E1112,2)*4+FLOOR(E1112/2,1)*6</f>
        <v>16</v>
      </c>
      <c r="H1112" s="14">
        <v>12</v>
      </c>
      <c r="I1112" s="14">
        <f>108-H1112-G1112-F1112</f>
        <v>70</v>
      </c>
    </row>
    <row r="1113" spans="1:20" ht="20" customHeight="1">
      <c r="A1113" s="22"/>
      <c r="B1113" s="6" t="str">
        <f>IF(H1113&lt;=12,"有效","无效")</f>
        <v>有效</v>
      </c>
      <c r="C1113" s="31" t="s">
        <v>1852</v>
      </c>
      <c r="D1113" s="32"/>
      <c r="E1113" s="32"/>
      <c r="F1113" s="32"/>
      <c r="G1113" s="33"/>
      <c r="H1113" s="4">
        <f>LEN(C1113)</f>
        <v>6</v>
      </c>
      <c r="I1113" s="11">
        <f>MOD(H1113,2)*4+FLOOR(H1113/2,1)*6</f>
        <v>18</v>
      </c>
      <c r="J1113" s="12">
        <f>I1113+I1114</f>
        <v>46</v>
      </c>
      <c r="K1113" s="20"/>
      <c r="L1113" s="13" t="str">
        <f>IF(R1113&lt;=12,"有效","无效")</f>
        <v>有效</v>
      </c>
      <c r="M1113" s="32" t="s">
        <v>1856</v>
      </c>
      <c r="N1113" s="32"/>
      <c r="O1113" s="32"/>
      <c r="P1113" s="32"/>
      <c r="Q1113" s="33"/>
      <c r="R1113" s="10">
        <f>LEN(M1113)</f>
        <v>10</v>
      </c>
      <c r="S1113" s="10">
        <f>MOD(R1113,2)*4+FLOOR(R1113/2,1)*6</f>
        <v>30</v>
      </c>
      <c r="T1113" s="12">
        <f>S1113+S1114</f>
        <v>60</v>
      </c>
    </row>
    <row r="1114" spans="1:20" ht="20" customHeight="1">
      <c r="A1114" s="22"/>
      <c r="B1114" s="6" t="str">
        <f>IF(H1114&lt;=12,"有效","无效")</f>
        <v>有效</v>
      </c>
      <c r="C1114" s="31" t="s">
        <v>1853</v>
      </c>
      <c r="D1114" s="32"/>
      <c r="E1114" s="32"/>
      <c r="F1114" s="32"/>
      <c r="G1114" s="33"/>
      <c r="H1114" s="4">
        <f>LEN(C1114)</f>
        <v>9</v>
      </c>
      <c r="I1114" s="11">
        <f>MOD(H1114,2)*4+FLOOR(H1114/2,1)*6</f>
        <v>28</v>
      </c>
      <c r="J1114" s="12" t="str">
        <f>IF(J1113&lt;I1112,"有效","无效")</f>
        <v>有效</v>
      </c>
      <c r="K1114" s="20"/>
      <c r="L1114" s="6" t="str">
        <f>IF(R1114&lt;=12,"有效","无效")</f>
        <v>有效</v>
      </c>
      <c r="M1114" s="31" t="s">
        <v>1857</v>
      </c>
      <c r="N1114" s="32"/>
      <c r="O1114" s="32"/>
      <c r="P1114" s="32"/>
      <c r="Q1114" s="33"/>
      <c r="R1114" s="10">
        <f>LEN(M1114)</f>
        <v>10</v>
      </c>
      <c r="S1114" s="10">
        <f>MOD(R1114,2)*4+FLOOR(R1114/2,1)*6</f>
        <v>30</v>
      </c>
      <c r="T1114" s="12" t="str">
        <f>IF(T1113&lt;I1112,"有效","无效")</f>
        <v>有效</v>
      </c>
    </row>
    <row r="1115" spans="1:20" ht="20" customHeight="1">
      <c r="A1115" s="22"/>
      <c r="B1115" s="6" t="str">
        <f>IF(H1115&lt;=12,"有效","无效")</f>
        <v>有效</v>
      </c>
      <c r="C1115" s="31" t="s">
        <v>1854</v>
      </c>
      <c r="D1115" s="32"/>
      <c r="E1115" s="32"/>
      <c r="F1115" s="32"/>
      <c r="G1115" s="33"/>
      <c r="H1115" s="4">
        <f>LEN(C1115)</f>
        <v>8</v>
      </c>
      <c r="I1115" s="11">
        <f>MOD(H1115,2)*4+FLOOR(H1115/2,1)*6</f>
        <v>24</v>
      </c>
      <c r="J1115" s="12">
        <f>I1115+I1116</f>
        <v>42</v>
      </c>
      <c r="K1115" s="20"/>
      <c r="L1115" s="6" t="str">
        <f>IF(R1115&lt;=12,"有效","无效")</f>
        <v>有效</v>
      </c>
      <c r="M1115" s="31" t="s">
        <v>1858</v>
      </c>
      <c r="N1115" s="32"/>
      <c r="O1115" s="32"/>
      <c r="P1115" s="32"/>
      <c r="Q1115" s="33"/>
      <c r="R1115" s="10">
        <f>LEN(M1115)</f>
        <v>8</v>
      </c>
      <c r="S1115" s="10">
        <f>MOD(R1115,2)*4+FLOOR(R1115/2,1)*6</f>
        <v>24</v>
      </c>
      <c r="T1115" s="12">
        <f>S1115+S1116</f>
        <v>46</v>
      </c>
    </row>
    <row r="1116" spans="1:20" ht="20" customHeight="1">
      <c r="A1116" s="22"/>
      <c r="B1116" s="6" t="str">
        <f>IF(H1116&lt;=12,"有效","无效")</f>
        <v>有效</v>
      </c>
      <c r="C1116" s="31" t="s">
        <v>1855</v>
      </c>
      <c r="D1116" s="32"/>
      <c r="E1116" s="32"/>
      <c r="F1116" s="32"/>
      <c r="G1116" s="33"/>
      <c r="H1116" s="4">
        <f>LEN(C1116)</f>
        <v>6</v>
      </c>
      <c r="I1116" s="11">
        <f>MOD(H1116,2)*4+FLOOR(H1116/2,1)*6</f>
        <v>18</v>
      </c>
      <c r="J1116" s="12" t="str">
        <f>IF(J1115&lt;I1112,"有效","无效")</f>
        <v>有效</v>
      </c>
      <c r="K1116" s="20"/>
      <c r="L1116" s="6" t="str">
        <f>IF(R1116&lt;=12,"有效","无效")</f>
        <v>有效</v>
      </c>
      <c r="M1116" s="31" t="s">
        <v>1859</v>
      </c>
      <c r="N1116" s="32"/>
      <c r="O1116" s="32"/>
      <c r="P1116" s="32"/>
      <c r="Q1116" s="33"/>
      <c r="R1116" s="10">
        <f>LEN(M1116)</f>
        <v>7</v>
      </c>
      <c r="S1116" s="10">
        <f>MOD(R1116,2)*4+FLOOR(R1116/2,1)*6</f>
        <v>22</v>
      </c>
      <c r="T1116" s="12" t="str">
        <f>IF(T1115&lt;I1112,"有效","无效")</f>
        <v>有效</v>
      </c>
    </row>
    <row r="1117" spans="1:20" ht="20" customHeight="1">
      <c r="A1117" s="22">
        <v>224</v>
      </c>
      <c r="B1117" s="23" t="s">
        <v>366</v>
      </c>
      <c r="C1117" s="24" t="s">
        <v>365</v>
      </c>
      <c r="D1117" s="14">
        <f>LEN($B1117)</f>
        <v>3</v>
      </c>
      <c r="E1117" s="14">
        <f>LEN(C1117)+3</f>
        <v>5</v>
      </c>
      <c r="F1117" s="14">
        <f>MOD(D1117,2)*4+FLOOR(D1117/2,1)*6</f>
        <v>10</v>
      </c>
      <c r="G1117" s="14">
        <f>MOD(E1117,2)*4+FLOOR(E1117/2,1)*6</f>
        <v>16</v>
      </c>
      <c r="H1117" s="14">
        <v>12</v>
      </c>
      <c r="I1117" s="14">
        <f>108-H1117-G1117-F1117</f>
        <v>70</v>
      </c>
    </row>
    <row r="1118" spans="1:20" ht="20" customHeight="1">
      <c r="A1118" s="22"/>
      <c r="B1118" s="6" t="str">
        <f>IF(H1118&lt;=12,"有效","无效")</f>
        <v>有效</v>
      </c>
      <c r="C1118" s="31" t="s">
        <v>1860</v>
      </c>
      <c r="D1118" s="32"/>
      <c r="E1118" s="32"/>
      <c r="F1118" s="32"/>
      <c r="G1118" s="33"/>
      <c r="H1118" s="4">
        <f>LEN(C1118)</f>
        <v>10</v>
      </c>
      <c r="I1118" s="11">
        <f>MOD(H1118,2)*4+FLOOR(H1118/2,1)*6</f>
        <v>30</v>
      </c>
      <c r="J1118" s="12">
        <f>I1118+I1119</f>
        <v>66</v>
      </c>
      <c r="K1118" s="20"/>
      <c r="L1118" s="13" t="str">
        <f>IF(R1118&lt;=12,"有效","无效")</f>
        <v>有效</v>
      </c>
      <c r="M1118" s="32" t="s">
        <v>1861</v>
      </c>
      <c r="N1118" s="32"/>
      <c r="O1118" s="32"/>
      <c r="P1118" s="32"/>
      <c r="Q1118" s="33"/>
      <c r="R1118" s="10">
        <f>LEN(M1118)</f>
        <v>6</v>
      </c>
      <c r="S1118" s="10">
        <f>MOD(R1118,2)*4+FLOOR(R1118/2,1)*6</f>
        <v>18</v>
      </c>
      <c r="T1118" s="12">
        <f>S1118+S1119</f>
        <v>40</v>
      </c>
    </row>
    <row r="1119" spans="1:20" ht="20" customHeight="1">
      <c r="A1119" s="22"/>
      <c r="B1119" s="6" t="str">
        <f>IF(H1119&lt;=12,"有效","无效")</f>
        <v>有效</v>
      </c>
      <c r="C1119" s="31" t="s">
        <v>2234</v>
      </c>
      <c r="D1119" s="32"/>
      <c r="E1119" s="32"/>
      <c r="F1119" s="32"/>
      <c r="G1119" s="33"/>
      <c r="H1119" s="4">
        <f>LEN(C1119)</f>
        <v>12</v>
      </c>
      <c r="I1119" s="11">
        <f>MOD(H1119,2)*4+FLOOR(H1119/2,1)*6</f>
        <v>36</v>
      </c>
      <c r="J1119" s="12" t="str">
        <f>IF(J1118&lt;I1117,"有效","无效")</f>
        <v>有效</v>
      </c>
      <c r="K1119" s="20"/>
      <c r="L1119" s="6" t="str">
        <f>IF(R1119&lt;=12,"有效","无效")</f>
        <v>有效</v>
      </c>
      <c r="M1119" s="31" t="s">
        <v>1862</v>
      </c>
      <c r="N1119" s="32"/>
      <c r="O1119" s="32"/>
      <c r="P1119" s="32"/>
      <c r="Q1119" s="33"/>
      <c r="R1119" s="10">
        <f>LEN(M1119)</f>
        <v>7</v>
      </c>
      <c r="S1119" s="10">
        <f>MOD(R1119,2)*4+FLOOR(R1119/2,1)*6</f>
        <v>22</v>
      </c>
      <c r="T1119" s="12" t="str">
        <f>IF(T1118&lt;I1117,"有效","无效")</f>
        <v>有效</v>
      </c>
    </row>
    <row r="1120" spans="1:20" ht="20" customHeight="1">
      <c r="A1120" s="22"/>
      <c r="B1120" s="6" t="str">
        <f>IF(H1120&lt;=12,"有效","无效")</f>
        <v>有效</v>
      </c>
      <c r="C1120" s="31" t="s">
        <v>2236</v>
      </c>
      <c r="D1120" s="32"/>
      <c r="E1120" s="32"/>
      <c r="F1120" s="32"/>
      <c r="G1120" s="33"/>
      <c r="H1120" s="4">
        <f>LEN(C1120)</f>
        <v>7</v>
      </c>
      <c r="I1120" s="11">
        <f>MOD(H1120,2)*4+FLOOR(H1120/2,1)*6</f>
        <v>22</v>
      </c>
      <c r="J1120" s="12">
        <f>I1120+I1121</f>
        <v>38</v>
      </c>
      <c r="K1120" s="20"/>
      <c r="L1120" s="6" t="str">
        <f>IF(R1120&lt;=12,"有效","无效")</f>
        <v>有效</v>
      </c>
      <c r="M1120" s="31" t="s">
        <v>1863</v>
      </c>
      <c r="N1120" s="32"/>
      <c r="O1120" s="32"/>
      <c r="P1120" s="32"/>
      <c r="Q1120" s="33"/>
      <c r="R1120" s="10">
        <f>LEN(M1120)</f>
        <v>7</v>
      </c>
      <c r="S1120" s="10">
        <f>MOD(R1120,2)*4+FLOOR(R1120/2,1)*6</f>
        <v>22</v>
      </c>
      <c r="T1120" s="12">
        <f>S1120+S1121</f>
        <v>50</v>
      </c>
    </row>
    <row r="1121" spans="1:20" ht="20" customHeight="1">
      <c r="A1121" s="22"/>
      <c r="B1121" s="6" t="str">
        <f>IF(H1121&lt;=12,"有效","无效")</f>
        <v>有效</v>
      </c>
      <c r="C1121" s="31" t="s">
        <v>2235</v>
      </c>
      <c r="D1121" s="32"/>
      <c r="E1121" s="32"/>
      <c r="F1121" s="32"/>
      <c r="G1121" s="33"/>
      <c r="H1121" s="4">
        <f>LEN(C1121)</f>
        <v>5</v>
      </c>
      <c r="I1121" s="11">
        <f>MOD(H1121,2)*4+FLOOR(H1121/2,1)*6</f>
        <v>16</v>
      </c>
      <c r="J1121" s="12" t="str">
        <f>IF(J1120&lt;I1117,"有效","无效")</f>
        <v>有效</v>
      </c>
      <c r="K1121" s="20"/>
      <c r="L1121" s="6" t="str">
        <f>IF(R1121&lt;=12,"有效","无效")</f>
        <v>有效</v>
      </c>
      <c r="M1121" s="31" t="s">
        <v>1864</v>
      </c>
      <c r="N1121" s="32"/>
      <c r="O1121" s="32"/>
      <c r="P1121" s="32"/>
      <c r="Q1121" s="33"/>
      <c r="R1121" s="10">
        <f>LEN(M1121)</f>
        <v>9</v>
      </c>
      <c r="S1121" s="10">
        <f>MOD(R1121,2)*4+FLOOR(R1121/2,1)*6</f>
        <v>28</v>
      </c>
      <c r="T1121" s="12" t="str">
        <f>IF(T1120&lt;I1117,"有效","无效")</f>
        <v>有效</v>
      </c>
    </row>
    <row r="1122" spans="1:20" ht="20" customHeight="1">
      <c r="A1122" s="22">
        <v>225</v>
      </c>
      <c r="B1122" s="23" t="s">
        <v>367</v>
      </c>
      <c r="C1122" s="24" t="s">
        <v>368</v>
      </c>
      <c r="D1122" s="14">
        <f>LEN($B1122)</f>
        <v>3</v>
      </c>
      <c r="E1122" s="14">
        <f>LEN(C1122)+3</f>
        <v>5</v>
      </c>
      <c r="F1122" s="14">
        <f>MOD(D1122,2)*4+FLOOR(D1122/2,1)*6</f>
        <v>10</v>
      </c>
      <c r="G1122" s="14">
        <f>MOD(E1122,2)*4+FLOOR(E1122/2,1)*6</f>
        <v>16</v>
      </c>
      <c r="H1122" s="14">
        <v>12</v>
      </c>
      <c r="I1122" s="14">
        <f>108-H1122-G1122-F1122</f>
        <v>70</v>
      </c>
    </row>
    <row r="1123" spans="1:20" ht="20" customHeight="1">
      <c r="A1123" s="22"/>
      <c r="B1123" s="6" t="str">
        <f>IF(H1123&lt;=12,"有效","无效")</f>
        <v>有效</v>
      </c>
      <c r="C1123" s="31" t="s">
        <v>1865</v>
      </c>
      <c r="D1123" s="32"/>
      <c r="E1123" s="32"/>
      <c r="F1123" s="32"/>
      <c r="G1123" s="33"/>
      <c r="H1123" s="4">
        <f>LEN(C1123)</f>
        <v>10</v>
      </c>
      <c r="I1123" s="11">
        <f>MOD(H1123,2)*4+FLOOR(H1123/2,1)*6</f>
        <v>30</v>
      </c>
      <c r="J1123" s="12">
        <f>I1123+I1124</f>
        <v>54</v>
      </c>
      <c r="K1123" s="20"/>
      <c r="L1123" s="13" t="str">
        <f>IF(R1123&lt;=12,"有效","无效")</f>
        <v>有效</v>
      </c>
      <c r="M1123" s="35" t="s">
        <v>2378</v>
      </c>
      <c r="N1123" s="35"/>
      <c r="O1123" s="35"/>
      <c r="P1123" s="35"/>
      <c r="Q1123" s="36"/>
      <c r="R1123" s="10">
        <f>LEN(M1123)</f>
        <v>3</v>
      </c>
      <c r="S1123" s="10">
        <f>MOD(R1123,2)*4+FLOOR(R1123/2,1)*6</f>
        <v>10</v>
      </c>
      <c r="T1123" s="12">
        <f>S1123+S1124</f>
        <v>32</v>
      </c>
    </row>
    <row r="1124" spans="1:20" ht="20" customHeight="1">
      <c r="A1124" s="22"/>
      <c r="B1124" s="6" t="str">
        <f>IF(H1124&lt;=12,"有效","无效")</f>
        <v>有效</v>
      </c>
      <c r="C1124" s="31" t="s">
        <v>1866</v>
      </c>
      <c r="D1124" s="32"/>
      <c r="E1124" s="32"/>
      <c r="F1124" s="32"/>
      <c r="G1124" s="33"/>
      <c r="H1124" s="4">
        <f>LEN(C1124)</f>
        <v>8</v>
      </c>
      <c r="I1124" s="11">
        <f>MOD(H1124,2)*4+FLOOR(H1124/2,1)*6</f>
        <v>24</v>
      </c>
      <c r="J1124" s="12" t="str">
        <f>IF(J1123&lt;I1122,"有效","无效")</f>
        <v>有效</v>
      </c>
      <c r="K1124" s="20"/>
      <c r="L1124" s="6" t="str">
        <f>IF(R1124&lt;=12,"有效","无效")</f>
        <v>有效</v>
      </c>
      <c r="M1124" s="34" t="s">
        <v>2379</v>
      </c>
      <c r="N1124" s="35"/>
      <c r="O1124" s="35"/>
      <c r="P1124" s="35"/>
      <c r="Q1124" s="36"/>
      <c r="R1124" s="10">
        <f>LEN(M1124)</f>
        <v>7</v>
      </c>
      <c r="S1124" s="10">
        <f>MOD(R1124,2)*4+FLOOR(R1124/2,1)*6</f>
        <v>22</v>
      </c>
      <c r="T1124" s="12" t="str">
        <f>IF(T1123&lt;I1122,"有效","无效")</f>
        <v>有效</v>
      </c>
    </row>
    <row r="1125" spans="1:20" ht="20" customHeight="1">
      <c r="A1125" s="22"/>
      <c r="B1125" s="6" t="str">
        <f>IF(H1125&lt;=12,"有效","无效")</f>
        <v>有效</v>
      </c>
      <c r="C1125" s="31" t="s">
        <v>1868</v>
      </c>
      <c r="D1125" s="32"/>
      <c r="E1125" s="32"/>
      <c r="F1125" s="32"/>
      <c r="G1125" s="33"/>
      <c r="H1125" s="4">
        <f>LEN(C1125)</f>
        <v>6</v>
      </c>
      <c r="I1125" s="11">
        <f>MOD(H1125,2)*4+FLOOR(H1125/2,1)*6</f>
        <v>18</v>
      </c>
      <c r="J1125" s="12">
        <f>I1125+I1126</f>
        <v>36</v>
      </c>
      <c r="K1125" s="20"/>
      <c r="L1125" s="6" t="str">
        <f>IF(R1125&lt;=12,"有效","无效")</f>
        <v>有效</v>
      </c>
      <c r="M1125" s="34" t="s">
        <v>2377</v>
      </c>
      <c r="N1125" s="35"/>
      <c r="O1125" s="35"/>
      <c r="P1125" s="35"/>
      <c r="Q1125" s="38"/>
      <c r="R1125" s="10">
        <f>LEN(M1125)</f>
        <v>12</v>
      </c>
      <c r="S1125" s="10">
        <f>MOD(R1125,2)*4+FLOOR(R1125/2,1)*6</f>
        <v>36</v>
      </c>
      <c r="T1125" s="12">
        <f>S1125+S1126</f>
        <v>66</v>
      </c>
    </row>
    <row r="1126" spans="1:20" ht="20" customHeight="1">
      <c r="A1126" s="22"/>
      <c r="B1126" s="6" t="str">
        <f>IF(H1126&lt;=12,"有效","无效")</f>
        <v>有效</v>
      </c>
      <c r="C1126" s="31" t="s">
        <v>1867</v>
      </c>
      <c r="D1126" s="32"/>
      <c r="E1126" s="32"/>
      <c r="F1126" s="32"/>
      <c r="G1126" s="33"/>
      <c r="H1126" s="4">
        <f>LEN(C1126)</f>
        <v>6</v>
      </c>
      <c r="I1126" s="11">
        <f>MOD(H1126,2)*4+FLOOR(H1126/2,1)*6</f>
        <v>18</v>
      </c>
      <c r="J1126" s="12" t="str">
        <f>IF(J1125&lt;I1122,"有效","无效")</f>
        <v>有效</v>
      </c>
      <c r="K1126" s="20"/>
      <c r="L1126" s="6" t="str">
        <f>IF(R1126&lt;=12,"有效","无效")</f>
        <v>有效</v>
      </c>
      <c r="M1126" s="34" t="s">
        <v>1865</v>
      </c>
      <c r="N1126" s="35"/>
      <c r="O1126" s="35"/>
      <c r="P1126" s="35"/>
      <c r="Q1126" s="36"/>
      <c r="R1126" s="10">
        <f>LEN(M1126)</f>
        <v>10</v>
      </c>
      <c r="S1126" s="10">
        <f>MOD(R1126,2)*4+FLOOR(R1126/2,1)*6</f>
        <v>30</v>
      </c>
      <c r="T1126" s="12" t="str">
        <f>IF(T1125&lt;I1122,"有效","无效")</f>
        <v>有效</v>
      </c>
    </row>
    <row r="1127" spans="1:20" ht="20" customHeight="1">
      <c r="A1127" s="22">
        <v>226</v>
      </c>
      <c r="B1127" s="23" t="s">
        <v>369</v>
      </c>
      <c r="C1127" s="24" t="s">
        <v>370</v>
      </c>
      <c r="D1127" s="14">
        <f>LEN($B1127)</f>
        <v>4</v>
      </c>
      <c r="E1127" s="14">
        <f>LEN(C1127)+3</f>
        <v>5</v>
      </c>
      <c r="F1127" s="14">
        <f>MOD(D1127,2)*4+FLOOR(D1127/2,1)*6</f>
        <v>12</v>
      </c>
      <c r="G1127" s="14">
        <f>MOD(E1127,2)*4+FLOOR(E1127/2,1)*6</f>
        <v>16</v>
      </c>
      <c r="H1127" s="14">
        <v>12</v>
      </c>
      <c r="I1127" s="14">
        <f>108-H1127-G1127-F1127</f>
        <v>68</v>
      </c>
    </row>
    <row r="1128" spans="1:20" ht="20" customHeight="1">
      <c r="A1128" s="22"/>
      <c r="B1128" s="6" t="str">
        <f>IF(H1128&lt;=12,"有效","无效")</f>
        <v>有效</v>
      </c>
      <c r="C1128" s="31" t="s">
        <v>1869</v>
      </c>
      <c r="D1128" s="32"/>
      <c r="E1128" s="32"/>
      <c r="F1128" s="32"/>
      <c r="G1128" s="33"/>
      <c r="H1128" s="4">
        <f>LEN(C1128)</f>
        <v>10</v>
      </c>
      <c r="I1128" s="11">
        <f>MOD(H1128,2)*4+FLOOR(H1128/2,1)*6</f>
        <v>30</v>
      </c>
      <c r="J1128" s="12">
        <f>I1128+I1129</f>
        <v>60</v>
      </c>
      <c r="K1128" s="20"/>
      <c r="L1128" s="13" t="str">
        <f>IF(R1128&lt;=12,"有效","无效")</f>
        <v>有效</v>
      </c>
      <c r="M1128" s="35" t="s">
        <v>1872</v>
      </c>
      <c r="N1128" s="35"/>
      <c r="O1128" s="35"/>
      <c r="P1128" s="35"/>
      <c r="Q1128" s="36"/>
      <c r="R1128" s="10">
        <f>LEN(M1128)</f>
        <v>7</v>
      </c>
      <c r="S1128" s="10">
        <f>MOD(R1128,2)*4+FLOOR(R1128/2,1)*6</f>
        <v>22</v>
      </c>
      <c r="T1128" s="12">
        <f>S1128+S1129</f>
        <v>40</v>
      </c>
    </row>
    <row r="1129" spans="1:20" ht="20" customHeight="1">
      <c r="A1129" s="22"/>
      <c r="B1129" s="6" t="str">
        <f>IF(H1129&lt;=12,"有效","无效")</f>
        <v>有效</v>
      </c>
      <c r="C1129" s="31" t="s">
        <v>1870</v>
      </c>
      <c r="D1129" s="32"/>
      <c r="E1129" s="32"/>
      <c r="F1129" s="32"/>
      <c r="G1129" s="33"/>
      <c r="H1129" s="4">
        <f>LEN(C1129)</f>
        <v>10</v>
      </c>
      <c r="I1129" s="11">
        <f>MOD(H1129,2)*4+FLOOR(H1129/2,1)*6</f>
        <v>30</v>
      </c>
      <c r="J1129" s="12" t="str">
        <f>IF(J1128&lt;I1127,"有效","无效")</f>
        <v>有效</v>
      </c>
      <c r="K1129" s="20"/>
      <c r="L1129" s="6" t="str">
        <f>IF(R1129&lt;=12,"有效","无效")</f>
        <v>有效</v>
      </c>
      <c r="M1129" s="34" t="s">
        <v>1873</v>
      </c>
      <c r="N1129" s="35"/>
      <c r="O1129" s="35"/>
      <c r="P1129" s="35"/>
      <c r="Q1129" s="36"/>
      <c r="R1129" s="10">
        <f>LEN(M1129)</f>
        <v>6</v>
      </c>
      <c r="S1129" s="10">
        <f>MOD(R1129,2)*4+FLOOR(R1129/2,1)*6</f>
        <v>18</v>
      </c>
      <c r="T1129" s="12" t="str">
        <f>IF(T1128&lt;I1127,"有效","无效")</f>
        <v>有效</v>
      </c>
    </row>
    <row r="1130" spans="1:20" ht="20" customHeight="1">
      <c r="A1130" s="22"/>
      <c r="B1130" s="6" t="str">
        <f>IF(H1130&lt;=12,"有效","无效")</f>
        <v>有效</v>
      </c>
      <c r="C1130" s="31" t="s">
        <v>1871</v>
      </c>
      <c r="D1130" s="32"/>
      <c r="E1130" s="32"/>
      <c r="F1130" s="32"/>
      <c r="G1130" s="33"/>
      <c r="H1130" s="4">
        <f>LEN(C1130)</f>
        <v>10</v>
      </c>
      <c r="I1130" s="11">
        <f>MOD(H1130,2)*4+FLOOR(H1130/2,1)*6</f>
        <v>30</v>
      </c>
      <c r="J1130" s="12">
        <f>I1130+I1131</f>
        <v>48</v>
      </c>
      <c r="K1130" s="20"/>
      <c r="L1130" s="6" t="str">
        <f>IF(R1130&lt;=12,"有效","无效")</f>
        <v>有效</v>
      </c>
      <c r="M1130" s="34" t="s">
        <v>1874</v>
      </c>
      <c r="N1130" s="35"/>
      <c r="O1130" s="35"/>
      <c r="P1130" s="35"/>
      <c r="Q1130" s="36"/>
      <c r="R1130" s="10">
        <f>LEN(M1130)</f>
        <v>8</v>
      </c>
      <c r="S1130" s="10">
        <f>MOD(R1130,2)*4+FLOOR(R1130/2,1)*6</f>
        <v>24</v>
      </c>
      <c r="T1130" s="12">
        <f>S1130+S1131</f>
        <v>58</v>
      </c>
    </row>
    <row r="1131" spans="1:20" ht="20" customHeight="1">
      <c r="A1131" s="22"/>
      <c r="B1131" s="6" t="str">
        <f>IF(H1131&lt;=12,"有效","无效")</f>
        <v>有效</v>
      </c>
      <c r="C1131" s="31" t="s">
        <v>923</v>
      </c>
      <c r="D1131" s="32"/>
      <c r="E1131" s="32"/>
      <c r="F1131" s="32"/>
      <c r="G1131" s="33"/>
      <c r="H1131" s="4">
        <f>LEN(C1131)</f>
        <v>6</v>
      </c>
      <c r="I1131" s="11">
        <f>MOD(H1131,2)*4+FLOOR(H1131/2,1)*6</f>
        <v>18</v>
      </c>
      <c r="J1131" s="12" t="str">
        <f>IF(J1130&lt;I1127,"有效","无效")</f>
        <v>有效</v>
      </c>
      <c r="K1131" s="20"/>
      <c r="L1131" s="6" t="str">
        <f>IF(R1131&lt;=12,"有效","无效")</f>
        <v>有效</v>
      </c>
      <c r="M1131" s="34" t="s">
        <v>1875</v>
      </c>
      <c r="N1131" s="35"/>
      <c r="O1131" s="35"/>
      <c r="P1131" s="35"/>
      <c r="Q1131" s="36"/>
      <c r="R1131" s="10">
        <f>LEN(M1131)</f>
        <v>11</v>
      </c>
      <c r="S1131" s="10">
        <f>MOD(R1131,2)*4+FLOOR(R1131/2,1)*6</f>
        <v>34</v>
      </c>
      <c r="T1131" s="12" t="str">
        <f>IF(T1130&lt;I1127,"有效","无效")</f>
        <v>有效</v>
      </c>
    </row>
    <row r="1132" spans="1:20" ht="20" customHeight="1">
      <c r="A1132" s="22">
        <v>227</v>
      </c>
      <c r="B1132" s="23" t="s">
        <v>371</v>
      </c>
      <c r="C1132" s="24" t="s">
        <v>372</v>
      </c>
      <c r="D1132" s="14">
        <f>LEN($B1132)</f>
        <v>3</v>
      </c>
      <c r="E1132" s="14">
        <f>LEN(C1132)+3</f>
        <v>6</v>
      </c>
      <c r="F1132" s="14">
        <f>MOD(D1132,2)*4+FLOOR(D1132/2,1)*6</f>
        <v>10</v>
      </c>
      <c r="G1132" s="14">
        <f>MOD(E1132,2)*4+FLOOR(E1132/2,1)*6</f>
        <v>18</v>
      </c>
      <c r="H1132" s="14">
        <v>12</v>
      </c>
      <c r="I1132" s="14">
        <f>108-H1132-G1132-F1132</f>
        <v>68</v>
      </c>
    </row>
    <row r="1133" spans="1:20" ht="20" customHeight="1">
      <c r="A1133" s="22"/>
      <c r="B1133" s="6" t="str">
        <f>IF(H1133&lt;=12,"有效","无效")</f>
        <v>有效</v>
      </c>
      <c r="C1133" s="34" t="s">
        <v>1876</v>
      </c>
      <c r="D1133" s="35"/>
      <c r="E1133" s="35"/>
      <c r="F1133" s="35"/>
      <c r="G1133" s="36"/>
      <c r="H1133" s="4">
        <f>LEN(C1133)</f>
        <v>11</v>
      </c>
      <c r="I1133" s="11">
        <f>MOD(H1133,2)*4+FLOOR(H1133/2,1)*6</f>
        <v>34</v>
      </c>
      <c r="J1133" s="12">
        <f>I1133+I1134</f>
        <v>64</v>
      </c>
      <c r="K1133" s="20"/>
      <c r="L1133" s="13" t="str">
        <f>IF(R1133&lt;=12,"有效","无效")</f>
        <v>有效</v>
      </c>
      <c r="M1133" s="32" t="s">
        <v>2382</v>
      </c>
      <c r="N1133" s="32"/>
      <c r="O1133" s="32"/>
      <c r="P1133" s="32"/>
      <c r="Q1133" s="33"/>
      <c r="R1133" s="10">
        <f>LEN(M1133)</f>
        <v>6</v>
      </c>
      <c r="S1133" s="10">
        <f>MOD(R1133,2)*4+FLOOR(R1133/2,1)*6</f>
        <v>18</v>
      </c>
      <c r="T1133" s="12">
        <f>S1133+S1134</f>
        <v>28</v>
      </c>
    </row>
    <row r="1134" spans="1:20" ht="20" customHeight="1">
      <c r="A1134" s="22"/>
      <c r="B1134" s="6" t="str">
        <f>IF(H1134&lt;=12,"有效","无效")</f>
        <v>有效</v>
      </c>
      <c r="C1134" s="34" t="s">
        <v>1877</v>
      </c>
      <c r="D1134" s="35"/>
      <c r="E1134" s="35"/>
      <c r="F1134" s="35"/>
      <c r="G1134" s="36"/>
      <c r="H1134" s="4">
        <f>LEN(C1134)</f>
        <v>10</v>
      </c>
      <c r="I1134" s="11">
        <f>MOD(H1134,2)*4+FLOOR(H1134/2,1)*6</f>
        <v>30</v>
      </c>
      <c r="J1134" s="12" t="str">
        <f>IF(J1133&lt;I1132,"有效","无效")</f>
        <v>有效</v>
      </c>
      <c r="K1134" s="20"/>
      <c r="L1134" s="6" t="str">
        <f>IF(R1134&lt;=12,"有效","无效")</f>
        <v>有效</v>
      </c>
      <c r="M1134" s="31" t="s">
        <v>2383</v>
      </c>
      <c r="N1134" s="32"/>
      <c r="O1134" s="32"/>
      <c r="P1134" s="32"/>
      <c r="Q1134" s="33"/>
      <c r="R1134" s="10">
        <f>LEN(M1134)</f>
        <v>3</v>
      </c>
      <c r="S1134" s="10">
        <f>MOD(R1134,2)*4+FLOOR(R1134/2,1)*6</f>
        <v>10</v>
      </c>
      <c r="T1134" s="12" t="str">
        <f>IF(T1133&lt;I1132,"有效","无效")</f>
        <v>有效</v>
      </c>
    </row>
    <row r="1135" spans="1:20" ht="20" customHeight="1">
      <c r="A1135" s="22"/>
      <c r="B1135" s="6" t="str">
        <f>IF(H1135&lt;=12,"有效","无效")</f>
        <v>有效</v>
      </c>
      <c r="C1135" s="34" t="s">
        <v>1878</v>
      </c>
      <c r="D1135" s="35"/>
      <c r="E1135" s="35"/>
      <c r="F1135" s="35"/>
      <c r="G1135" s="36"/>
      <c r="H1135" s="4">
        <f>LEN(C1135)</f>
        <v>8</v>
      </c>
      <c r="I1135" s="11">
        <f>MOD(H1135,2)*4+FLOOR(H1135/2,1)*6</f>
        <v>24</v>
      </c>
      <c r="J1135" s="12">
        <f>I1135+I1136</f>
        <v>42</v>
      </c>
      <c r="K1135" s="20"/>
      <c r="L1135" s="6" t="str">
        <f>IF(R1135&lt;=12,"有效","无效")</f>
        <v>有效</v>
      </c>
      <c r="M1135" s="31" t="s">
        <v>2380</v>
      </c>
      <c r="N1135" s="32"/>
      <c r="O1135" s="32"/>
      <c r="P1135" s="32"/>
      <c r="Q1135" s="33"/>
      <c r="R1135" s="10">
        <f>LEN(M1135)</f>
        <v>12</v>
      </c>
      <c r="S1135" s="10">
        <f>MOD(R1135,2)*4+FLOOR(R1135/2,1)*6</f>
        <v>36</v>
      </c>
      <c r="T1135" s="12">
        <f>S1135+S1136</f>
        <v>66</v>
      </c>
    </row>
    <row r="1136" spans="1:20" ht="20" customHeight="1">
      <c r="A1136" s="22"/>
      <c r="B1136" s="6" t="str">
        <f>IF(H1136&lt;=12,"有效","无效")</f>
        <v>有效</v>
      </c>
      <c r="C1136" s="34" t="s">
        <v>1879</v>
      </c>
      <c r="D1136" s="35"/>
      <c r="E1136" s="35"/>
      <c r="F1136" s="35"/>
      <c r="G1136" s="36"/>
      <c r="H1136" s="4">
        <f>LEN(C1136)</f>
        <v>6</v>
      </c>
      <c r="I1136" s="11">
        <f>MOD(H1136,2)*4+FLOOR(H1136/2,1)*6</f>
        <v>18</v>
      </c>
      <c r="J1136" s="12" t="str">
        <f>IF(J1135&lt;I1132,"有效","无效")</f>
        <v>有效</v>
      </c>
      <c r="K1136" s="20"/>
      <c r="L1136" s="6" t="str">
        <f>IF(R1136&lt;=12,"有效","无效")</f>
        <v>有效</v>
      </c>
      <c r="M1136" s="31" t="s">
        <v>2381</v>
      </c>
      <c r="N1136" s="32"/>
      <c r="O1136" s="32"/>
      <c r="P1136" s="32"/>
      <c r="Q1136" s="33"/>
      <c r="R1136" s="10">
        <f>LEN(M1136)</f>
        <v>10</v>
      </c>
      <c r="S1136" s="10">
        <f>MOD(R1136,2)*4+FLOOR(R1136/2,1)*6</f>
        <v>30</v>
      </c>
      <c r="T1136" s="12" t="str">
        <f>IF(T1135&lt;I1132,"有效","无效")</f>
        <v>有效</v>
      </c>
    </row>
    <row r="1137" spans="1:20" ht="20" customHeight="1">
      <c r="A1137" s="22">
        <v>228</v>
      </c>
      <c r="B1137" s="23" t="s">
        <v>373</v>
      </c>
      <c r="C1137" s="24" t="s">
        <v>374</v>
      </c>
      <c r="D1137" s="14">
        <f>LEN($B1137)</f>
        <v>3</v>
      </c>
      <c r="E1137" s="14">
        <f>LEN(C1137)+3</f>
        <v>5</v>
      </c>
      <c r="F1137" s="14">
        <f>MOD(D1137,2)*4+FLOOR(D1137/2,1)*6</f>
        <v>10</v>
      </c>
      <c r="G1137" s="14">
        <f>MOD(E1137,2)*4+FLOOR(E1137/2,1)*6</f>
        <v>16</v>
      </c>
      <c r="H1137" s="14">
        <v>12</v>
      </c>
      <c r="I1137" s="14">
        <f>108-H1137-G1137-F1137</f>
        <v>70</v>
      </c>
    </row>
    <row r="1138" spans="1:20" ht="20" customHeight="1">
      <c r="A1138" s="22"/>
      <c r="B1138" s="6" t="str">
        <f>IF(H1138&lt;=12,"有效","无效")</f>
        <v>有效</v>
      </c>
      <c r="C1138" s="31" t="s">
        <v>1880</v>
      </c>
      <c r="D1138" s="32"/>
      <c r="E1138" s="32"/>
      <c r="F1138" s="32"/>
      <c r="G1138" s="33"/>
      <c r="H1138" s="4">
        <f>LEN(C1138)</f>
        <v>6</v>
      </c>
      <c r="I1138" s="11">
        <f>MOD(H1138,2)*4+FLOOR(H1138/2,1)*6</f>
        <v>18</v>
      </c>
      <c r="J1138" s="12">
        <f>I1138+I1139</f>
        <v>42</v>
      </c>
      <c r="K1138" s="20"/>
      <c r="L1138" s="13" t="str">
        <f>IF(R1138&lt;=12,"有效","无效")</f>
        <v>有效</v>
      </c>
      <c r="M1138" s="32" t="s">
        <v>1884</v>
      </c>
      <c r="N1138" s="32"/>
      <c r="O1138" s="32"/>
      <c r="P1138" s="32"/>
      <c r="Q1138" s="33"/>
      <c r="R1138" s="10">
        <f>LEN(M1138)</f>
        <v>6</v>
      </c>
      <c r="S1138" s="10">
        <f>MOD(R1138,2)*4+FLOOR(R1138/2,1)*6</f>
        <v>18</v>
      </c>
      <c r="T1138" s="12">
        <f>S1138+S1139</f>
        <v>40</v>
      </c>
    </row>
    <row r="1139" spans="1:20" ht="20" customHeight="1">
      <c r="A1139" s="22"/>
      <c r="B1139" s="6" t="str">
        <f>IF(H1139&lt;=12,"有效","无效")</f>
        <v>有效</v>
      </c>
      <c r="C1139" s="31" t="s">
        <v>1881</v>
      </c>
      <c r="D1139" s="32"/>
      <c r="E1139" s="32"/>
      <c r="F1139" s="32"/>
      <c r="G1139" s="33"/>
      <c r="H1139" s="4">
        <f>LEN(C1139)</f>
        <v>8</v>
      </c>
      <c r="I1139" s="11">
        <f>MOD(H1139,2)*4+FLOOR(H1139/2,1)*6</f>
        <v>24</v>
      </c>
      <c r="J1139" s="12" t="str">
        <f>IF(J1138&lt;I1137,"有效","无效")</f>
        <v>有效</v>
      </c>
      <c r="K1139" s="20"/>
      <c r="L1139" s="6" t="str">
        <f>IF(R1139&lt;=12,"有效","无效")</f>
        <v>有效</v>
      </c>
      <c r="M1139" s="31" t="s">
        <v>1885</v>
      </c>
      <c r="N1139" s="32"/>
      <c r="O1139" s="32"/>
      <c r="P1139" s="32"/>
      <c r="Q1139" s="33"/>
      <c r="R1139" s="10">
        <f>LEN(M1139)</f>
        <v>7</v>
      </c>
      <c r="S1139" s="10">
        <f>MOD(R1139,2)*4+FLOOR(R1139/2,1)*6</f>
        <v>22</v>
      </c>
      <c r="T1139" s="12" t="str">
        <f>IF(T1138&lt;I1137,"有效","无效")</f>
        <v>有效</v>
      </c>
    </row>
    <row r="1140" spans="1:20" ht="20" customHeight="1">
      <c r="A1140" s="22"/>
      <c r="B1140" s="6" t="str">
        <f>IF(H1140&lt;=12,"有效","无效")</f>
        <v>有效</v>
      </c>
      <c r="C1140" s="31" t="s">
        <v>1882</v>
      </c>
      <c r="D1140" s="32"/>
      <c r="E1140" s="32"/>
      <c r="F1140" s="32"/>
      <c r="G1140" s="33"/>
      <c r="H1140" s="4">
        <f>LEN(C1140)</f>
        <v>5</v>
      </c>
      <c r="I1140" s="11">
        <f>MOD(H1140,2)*4+FLOOR(H1140/2,1)*6</f>
        <v>16</v>
      </c>
      <c r="J1140" s="12">
        <f>I1140+I1141</f>
        <v>40</v>
      </c>
      <c r="K1140" s="20"/>
      <c r="L1140" s="6" t="str">
        <f>IF(R1140&lt;=12,"有效","无效")</f>
        <v>有效</v>
      </c>
      <c r="M1140" s="31" t="s">
        <v>1886</v>
      </c>
      <c r="N1140" s="32"/>
      <c r="O1140" s="32"/>
      <c r="P1140" s="32"/>
      <c r="Q1140" s="33"/>
      <c r="R1140" s="10">
        <f>LEN(M1140)</f>
        <v>9</v>
      </c>
      <c r="S1140" s="10">
        <f>MOD(R1140,2)*4+FLOOR(R1140/2,1)*6</f>
        <v>28</v>
      </c>
      <c r="T1140" s="12">
        <f>S1140+S1141</f>
        <v>50</v>
      </c>
    </row>
    <row r="1141" spans="1:20" ht="20" customHeight="1">
      <c r="A1141" s="22"/>
      <c r="B1141" s="6" t="str">
        <f>IF(H1141&lt;=12,"有效","无效")</f>
        <v>有效</v>
      </c>
      <c r="C1141" s="31" t="s">
        <v>1883</v>
      </c>
      <c r="D1141" s="32"/>
      <c r="E1141" s="32"/>
      <c r="F1141" s="32"/>
      <c r="G1141" s="33"/>
      <c r="H1141" s="4">
        <f>LEN(C1141)</f>
        <v>8</v>
      </c>
      <c r="I1141" s="11">
        <f>MOD(H1141,2)*4+FLOOR(H1141/2,1)*6</f>
        <v>24</v>
      </c>
      <c r="J1141" s="12" t="str">
        <f>IF(J1140&lt;I1137,"有效","无效")</f>
        <v>有效</v>
      </c>
      <c r="K1141" s="20"/>
      <c r="L1141" s="6" t="str">
        <f>IF(R1141&lt;=12,"有效","无效")</f>
        <v>有效</v>
      </c>
      <c r="M1141" s="31" t="s">
        <v>1887</v>
      </c>
      <c r="N1141" s="32"/>
      <c r="O1141" s="32"/>
      <c r="P1141" s="32"/>
      <c r="Q1141" s="33"/>
      <c r="R1141" s="10">
        <f>LEN(M1141)</f>
        <v>7</v>
      </c>
      <c r="S1141" s="10">
        <f>MOD(R1141,2)*4+FLOOR(R1141/2,1)*6</f>
        <v>22</v>
      </c>
      <c r="T1141" s="12" t="str">
        <f>IF(T1140&lt;I1137,"有效","无效")</f>
        <v>有效</v>
      </c>
    </row>
    <row r="1142" spans="1:20" ht="20" customHeight="1">
      <c r="A1142" s="22">
        <v>229</v>
      </c>
      <c r="B1142" s="23" t="s">
        <v>375</v>
      </c>
      <c r="C1142" s="24" t="s">
        <v>374</v>
      </c>
      <c r="D1142" s="14">
        <f>LEN($B1142)</f>
        <v>3</v>
      </c>
      <c r="E1142" s="14">
        <f>LEN(C1142)+3</f>
        <v>5</v>
      </c>
      <c r="F1142" s="14">
        <f>MOD(D1142,2)*4+FLOOR(D1142/2,1)*6</f>
        <v>10</v>
      </c>
      <c r="G1142" s="14">
        <f>MOD(E1142,2)*4+FLOOR(E1142/2,1)*6</f>
        <v>16</v>
      </c>
      <c r="H1142" s="14">
        <v>12</v>
      </c>
      <c r="I1142" s="14">
        <f>108-H1142-G1142-F1142</f>
        <v>70</v>
      </c>
    </row>
    <row r="1143" spans="1:20" ht="20" customHeight="1">
      <c r="A1143" s="22"/>
      <c r="B1143" s="6" t="str">
        <f>IF(H1143&lt;=12,"有效","无效")</f>
        <v>有效</v>
      </c>
      <c r="C1143" s="31" t="s">
        <v>1888</v>
      </c>
      <c r="D1143" s="32"/>
      <c r="E1143" s="32"/>
      <c r="F1143" s="32"/>
      <c r="G1143" s="33"/>
      <c r="H1143" s="4">
        <f>LEN(C1143)</f>
        <v>9</v>
      </c>
      <c r="I1143" s="11">
        <f>MOD(H1143,2)*4+FLOOR(H1143/2,1)*6</f>
        <v>28</v>
      </c>
      <c r="J1143" s="12">
        <f>I1143+I1144</f>
        <v>46</v>
      </c>
      <c r="K1143" s="20"/>
      <c r="L1143" s="13" t="str">
        <f>IF(R1143&lt;=12,"有效","无效")</f>
        <v>有效</v>
      </c>
      <c r="M1143" s="32" t="s">
        <v>1892</v>
      </c>
      <c r="N1143" s="32"/>
      <c r="O1143" s="32"/>
      <c r="P1143" s="32"/>
      <c r="Q1143" s="33"/>
      <c r="R1143" s="10">
        <f>LEN(M1143)</f>
        <v>10</v>
      </c>
      <c r="S1143" s="10">
        <f>MOD(R1143,2)*4+FLOOR(R1143/2,1)*6</f>
        <v>30</v>
      </c>
      <c r="T1143" s="12">
        <f>S1143+S1144</f>
        <v>58</v>
      </c>
    </row>
    <row r="1144" spans="1:20" ht="20" customHeight="1">
      <c r="A1144" s="22"/>
      <c r="B1144" s="6" t="str">
        <f>IF(H1144&lt;=12,"有效","无效")</f>
        <v>有效</v>
      </c>
      <c r="C1144" s="31" t="s">
        <v>1889</v>
      </c>
      <c r="D1144" s="32"/>
      <c r="E1144" s="32"/>
      <c r="F1144" s="32"/>
      <c r="G1144" s="33"/>
      <c r="H1144" s="4">
        <f>LEN(C1144)</f>
        <v>6</v>
      </c>
      <c r="I1144" s="11">
        <f>MOD(H1144,2)*4+FLOOR(H1144/2,1)*6</f>
        <v>18</v>
      </c>
      <c r="J1144" s="12" t="str">
        <f>IF(J1143&lt;I1142,"有效","无效")</f>
        <v>有效</v>
      </c>
      <c r="K1144" s="20"/>
      <c r="L1144" s="6" t="str">
        <f>IF(R1144&lt;=12,"有效","无效")</f>
        <v>有效</v>
      </c>
      <c r="M1144" s="31" t="s">
        <v>1893</v>
      </c>
      <c r="N1144" s="32"/>
      <c r="O1144" s="32"/>
      <c r="P1144" s="32"/>
      <c r="Q1144" s="33"/>
      <c r="R1144" s="10">
        <f>LEN(M1144)</f>
        <v>9</v>
      </c>
      <c r="S1144" s="10">
        <f>MOD(R1144,2)*4+FLOOR(R1144/2,1)*6</f>
        <v>28</v>
      </c>
      <c r="T1144" s="12" t="str">
        <f>IF(T1143&lt;I1142,"有效","无效")</f>
        <v>有效</v>
      </c>
    </row>
    <row r="1145" spans="1:20" ht="20" customHeight="1">
      <c r="A1145" s="22"/>
      <c r="B1145" s="6" t="str">
        <f>IF(H1145&lt;=12,"有效","无效")</f>
        <v>有效</v>
      </c>
      <c r="C1145" s="31" t="s">
        <v>1890</v>
      </c>
      <c r="D1145" s="32"/>
      <c r="E1145" s="32"/>
      <c r="F1145" s="32"/>
      <c r="G1145" s="33"/>
      <c r="H1145" s="4">
        <f>LEN(C1145)</f>
        <v>8</v>
      </c>
      <c r="I1145" s="11">
        <f>MOD(H1145,2)*4+FLOOR(H1145/2,1)*6</f>
        <v>24</v>
      </c>
      <c r="J1145" s="12">
        <f>I1145+I1146</f>
        <v>40</v>
      </c>
      <c r="K1145" s="20"/>
      <c r="L1145" s="6" t="str">
        <f>IF(R1145&lt;=12,"有效","无效")</f>
        <v>有效</v>
      </c>
      <c r="M1145" s="31" t="s">
        <v>1894</v>
      </c>
      <c r="N1145" s="32"/>
      <c r="O1145" s="32"/>
      <c r="P1145" s="32"/>
      <c r="Q1145" s="33"/>
      <c r="R1145" s="10">
        <f>LEN(M1145)</f>
        <v>4</v>
      </c>
      <c r="S1145" s="10">
        <f>MOD(R1145,2)*4+FLOOR(R1145/2,1)*6</f>
        <v>12</v>
      </c>
      <c r="T1145" s="12">
        <f>S1145+S1146</f>
        <v>36</v>
      </c>
    </row>
    <row r="1146" spans="1:20" ht="20" customHeight="1">
      <c r="A1146" s="22"/>
      <c r="B1146" s="6" t="str">
        <f>IF(H1146&lt;=12,"有效","无效")</f>
        <v>有效</v>
      </c>
      <c r="C1146" s="31" t="s">
        <v>1891</v>
      </c>
      <c r="D1146" s="32"/>
      <c r="E1146" s="32"/>
      <c r="F1146" s="32"/>
      <c r="G1146" s="33"/>
      <c r="H1146" s="4">
        <f>LEN(C1146)</f>
        <v>5</v>
      </c>
      <c r="I1146" s="11">
        <f>MOD(H1146,2)*4+FLOOR(H1146/2,1)*6</f>
        <v>16</v>
      </c>
      <c r="J1146" s="12" t="str">
        <f>IF(J1145&lt;I1142,"有效","无效")</f>
        <v>有效</v>
      </c>
      <c r="K1146" s="20"/>
      <c r="L1146" s="6" t="str">
        <f>IF(R1146&lt;=12,"有效","无效")</f>
        <v>有效</v>
      </c>
      <c r="M1146" s="31" t="s">
        <v>1895</v>
      </c>
      <c r="N1146" s="32"/>
      <c r="O1146" s="32"/>
      <c r="P1146" s="32"/>
      <c r="Q1146" s="33"/>
      <c r="R1146" s="10">
        <f>LEN(M1146)</f>
        <v>8</v>
      </c>
      <c r="S1146" s="10">
        <f>MOD(R1146,2)*4+FLOOR(R1146/2,1)*6</f>
        <v>24</v>
      </c>
      <c r="T1146" s="12" t="str">
        <f>IF(T1145&lt;I1142,"有效","无效")</f>
        <v>有效</v>
      </c>
    </row>
    <row r="1147" spans="1:20" ht="20" customHeight="1">
      <c r="A1147" s="22">
        <v>230</v>
      </c>
      <c r="B1147" s="23" t="s">
        <v>376</v>
      </c>
      <c r="C1147" s="24" t="s">
        <v>185</v>
      </c>
      <c r="D1147" s="14">
        <f>LEN($B1147)</f>
        <v>3</v>
      </c>
      <c r="E1147" s="14">
        <f>LEN(C1147)+3</f>
        <v>4</v>
      </c>
      <c r="F1147" s="14">
        <f>MOD(D1147,2)*4+FLOOR(D1147/2,1)*6</f>
        <v>10</v>
      </c>
      <c r="G1147" s="14">
        <f>MOD(E1147,2)*4+FLOOR(E1147/2,1)*6</f>
        <v>12</v>
      </c>
      <c r="H1147" s="14">
        <v>12</v>
      </c>
      <c r="I1147" s="14">
        <f>108-H1147-G1147-F1147</f>
        <v>74</v>
      </c>
    </row>
    <row r="1148" spans="1:20" ht="20" customHeight="1">
      <c r="A1148" s="22"/>
      <c r="B1148" s="6" t="str">
        <f>IF(H1148&lt;=12,"有效","无效")</f>
        <v>有效</v>
      </c>
      <c r="C1148" s="31" t="s">
        <v>1896</v>
      </c>
      <c r="D1148" s="32"/>
      <c r="E1148" s="32"/>
      <c r="F1148" s="32"/>
      <c r="G1148" s="33"/>
      <c r="H1148" s="4">
        <f>LEN(C1148)</f>
        <v>7</v>
      </c>
      <c r="I1148" s="11">
        <f>MOD(H1148,2)*4+FLOOR(H1148/2,1)*6</f>
        <v>22</v>
      </c>
      <c r="J1148" s="12">
        <f>I1148+I1149</f>
        <v>44</v>
      </c>
      <c r="K1148" s="20"/>
      <c r="L1148" s="13" t="str">
        <f>IF(R1148&lt;=12,"有效","无效")</f>
        <v>有效</v>
      </c>
      <c r="M1148" s="32" t="s">
        <v>1900</v>
      </c>
      <c r="N1148" s="32"/>
      <c r="O1148" s="32"/>
      <c r="P1148" s="32"/>
      <c r="Q1148" s="33"/>
      <c r="R1148" s="10">
        <f>LEN(M1148)</f>
        <v>9</v>
      </c>
      <c r="S1148" s="10">
        <f>MOD(R1148,2)*4+FLOOR(R1148/2,1)*6</f>
        <v>28</v>
      </c>
      <c r="T1148" s="12">
        <f>S1148+S1149</f>
        <v>58</v>
      </c>
    </row>
    <row r="1149" spans="1:20" ht="20" customHeight="1">
      <c r="A1149" s="22"/>
      <c r="B1149" s="6" t="str">
        <f>IF(H1149&lt;=12,"有效","无效")</f>
        <v>有效</v>
      </c>
      <c r="C1149" s="31" t="s">
        <v>1897</v>
      </c>
      <c r="D1149" s="32"/>
      <c r="E1149" s="32"/>
      <c r="F1149" s="32"/>
      <c r="G1149" s="33"/>
      <c r="H1149" s="4">
        <f>LEN(C1149)</f>
        <v>7</v>
      </c>
      <c r="I1149" s="11">
        <f>MOD(H1149,2)*4+FLOOR(H1149/2,1)*6</f>
        <v>22</v>
      </c>
      <c r="J1149" s="12" t="str">
        <f>IF(J1148&lt;I1147,"有效","无效")</f>
        <v>有效</v>
      </c>
      <c r="K1149" s="20"/>
      <c r="L1149" s="6" t="str">
        <f>IF(R1149&lt;=12,"有效","无效")</f>
        <v>有效</v>
      </c>
      <c r="M1149" s="31" t="s">
        <v>1901</v>
      </c>
      <c r="N1149" s="32"/>
      <c r="O1149" s="32"/>
      <c r="P1149" s="32"/>
      <c r="Q1149" s="33"/>
      <c r="R1149" s="10">
        <f>LEN(M1149)</f>
        <v>10</v>
      </c>
      <c r="S1149" s="10">
        <f>MOD(R1149,2)*4+FLOOR(R1149/2,1)*6</f>
        <v>30</v>
      </c>
      <c r="T1149" s="12" t="str">
        <f>IF(T1148&lt;I1147,"有效","无效")</f>
        <v>有效</v>
      </c>
    </row>
    <row r="1150" spans="1:20" ht="20" customHeight="1">
      <c r="A1150" s="22"/>
      <c r="B1150" s="6" t="str">
        <f>IF(H1150&lt;=12,"有效","无效")</f>
        <v>有效</v>
      </c>
      <c r="C1150" s="31" t="s">
        <v>1898</v>
      </c>
      <c r="D1150" s="32"/>
      <c r="E1150" s="32"/>
      <c r="F1150" s="32"/>
      <c r="G1150" s="33"/>
      <c r="H1150" s="4">
        <f>LEN(C1150)</f>
        <v>6</v>
      </c>
      <c r="I1150" s="11">
        <f>MOD(H1150,2)*4+FLOOR(H1150/2,1)*6</f>
        <v>18</v>
      </c>
      <c r="J1150" s="12">
        <f>I1150+I1151</f>
        <v>34</v>
      </c>
      <c r="K1150" s="20"/>
      <c r="L1150" s="6" t="str">
        <f>IF(R1150&lt;=12,"有效","无效")</f>
        <v>有效</v>
      </c>
      <c r="M1150" s="31" t="s">
        <v>1902</v>
      </c>
      <c r="N1150" s="32"/>
      <c r="O1150" s="32"/>
      <c r="P1150" s="32"/>
      <c r="Q1150" s="33"/>
      <c r="R1150" s="10">
        <f>LEN(M1150)</f>
        <v>5</v>
      </c>
      <c r="S1150" s="10">
        <f>MOD(R1150,2)*4+FLOOR(R1150/2,1)*6</f>
        <v>16</v>
      </c>
      <c r="T1150" s="12">
        <f>S1150+S1151</f>
        <v>38</v>
      </c>
    </row>
    <row r="1151" spans="1:20" ht="20" customHeight="1">
      <c r="A1151" s="22"/>
      <c r="B1151" s="6" t="str">
        <f>IF(H1151&lt;=12,"有效","无效")</f>
        <v>有效</v>
      </c>
      <c r="C1151" s="31" t="s">
        <v>1899</v>
      </c>
      <c r="D1151" s="32"/>
      <c r="E1151" s="32"/>
      <c r="F1151" s="32"/>
      <c r="G1151" s="33"/>
      <c r="H1151" s="4">
        <f>LEN(C1151)</f>
        <v>5</v>
      </c>
      <c r="I1151" s="11">
        <f>MOD(H1151,2)*4+FLOOR(H1151/2,1)*6</f>
        <v>16</v>
      </c>
      <c r="J1151" s="12" t="str">
        <f>IF(J1150&lt;I1147,"有效","无效")</f>
        <v>有效</v>
      </c>
      <c r="K1151" s="20"/>
      <c r="L1151" s="6" t="str">
        <f>IF(R1151&lt;=12,"有效","无效")</f>
        <v>有效</v>
      </c>
      <c r="M1151" s="31" t="s">
        <v>1903</v>
      </c>
      <c r="N1151" s="32"/>
      <c r="O1151" s="32"/>
      <c r="P1151" s="32"/>
      <c r="Q1151" s="33"/>
      <c r="R1151" s="10">
        <f>LEN(M1151)</f>
        <v>7</v>
      </c>
      <c r="S1151" s="10">
        <f>MOD(R1151,2)*4+FLOOR(R1151/2,1)*6</f>
        <v>22</v>
      </c>
      <c r="T1151" s="12" t="str">
        <f>IF(T1150&lt;I1147,"有效","无效")</f>
        <v>有效</v>
      </c>
    </row>
    <row r="1152" spans="1:20" ht="20" customHeight="1">
      <c r="A1152" s="22">
        <v>231</v>
      </c>
      <c r="B1152" s="23" t="s">
        <v>377</v>
      </c>
      <c r="C1152" s="24" t="s">
        <v>378</v>
      </c>
      <c r="D1152" s="14">
        <f>LEN($B1152)</f>
        <v>3</v>
      </c>
      <c r="E1152" s="14">
        <f>LEN(C1152)+3</f>
        <v>5</v>
      </c>
      <c r="F1152" s="14">
        <f>MOD(D1152,2)*4+FLOOR(D1152/2,1)*6</f>
        <v>10</v>
      </c>
      <c r="G1152" s="14">
        <f>MOD(E1152,2)*4+FLOOR(E1152/2,1)*6</f>
        <v>16</v>
      </c>
      <c r="H1152" s="14">
        <v>12</v>
      </c>
      <c r="I1152" s="14">
        <f>108-H1152-G1152-F1152</f>
        <v>70</v>
      </c>
    </row>
    <row r="1153" spans="1:20" ht="20" customHeight="1">
      <c r="A1153" s="22"/>
      <c r="B1153" s="6" t="str">
        <f>IF(H1153&lt;=12,"有效","无效")</f>
        <v>有效</v>
      </c>
      <c r="C1153" s="34" t="s">
        <v>1910</v>
      </c>
      <c r="D1153" s="35"/>
      <c r="E1153" s="35"/>
      <c r="F1153" s="35"/>
      <c r="G1153" s="36"/>
      <c r="H1153" s="4">
        <f>LEN(C1153)</f>
        <v>8</v>
      </c>
      <c r="I1153" s="11">
        <f>MOD(H1153,2)*4+FLOOR(H1153/2,1)*6</f>
        <v>24</v>
      </c>
      <c r="J1153" s="12">
        <f>I1153+I1154</f>
        <v>52</v>
      </c>
      <c r="K1153" s="20"/>
      <c r="L1153" s="13" t="str">
        <f>IF(R1153&lt;=12,"有效","无效")</f>
        <v>有效</v>
      </c>
      <c r="M1153" s="32" t="s">
        <v>1904</v>
      </c>
      <c r="N1153" s="32"/>
      <c r="O1153" s="32"/>
      <c r="P1153" s="32"/>
      <c r="Q1153" s="33"/>
      <c r="R1153" s="10">
        <f>LEN(M1153)</f>
        <v>6</v>
      </c>
      <c r="S1153" s="10">
        <f>MOD(R1153,2)*4+FLOOR(R1153/2,1)*6</f>
        <v>18</v>
      </c>
      <c r="T1153" s="12">
        <f>S1153+S1154</f>
        <v>42</v>
      </c>
    </row>
    <row r="1154" spans="1:20" ht="20" customHeight="1">
      <c r="A1154" s="22"/>
      <c r="B1154" s="6" t="str">
        <f>IF(H1154&lt;=12,"有效","无效")</f>
        <v>有效</v>
      </c>
      <c r="C1154" s="34" t="s">
        <v>1909</v>
      </c>
      <c r="D1154" s="35"/>
      <c r="E1154" s="35"/>
      <c r="F1154" s="35"/>
      <c r="G1154" s="36"/>
      <c r="H1154" s="4">
        <f>LEN(C1154)</f>
        <v>9</v>
      </c>
      <c r="I1154" s="11">
        <f>MOD(H1154,2)*4+FLOOR(H1154/2,1)*6</f>
        <v>28</v>
      </c>
      <c r="J1154" s="12" t="str">
        <f>IF(J1153&lt;I1152,"有效","无效")</f>
        <v>有效</v>
      </c>
      <c r="K1154" s="20"/>
      <c r="L1154" s="6" t="str">
        <f>IF(R1154&lt;=12,"有效","无效")</f>
        <v>有效</v>
      </c>
      <c r="M1154" s="31" t="s">
        <v>1905</v>
      </c>
      <c r="N1154" s="32"/>
      <c r="O1154" s="32"/>
      <c r="P1154" s="32"/>
      <c r="Q1154" s="33"/>
      <c r="R1154" s="10">
        <f>LEN(M1154)</f>
        <v>8</v>
      </c>
      <c r="S1154" s="10">
        <f>MOD(R1154,2)*4+FLOOR(R1154/2,1)*6</f>
        <v>24</v>
      </c>
      <c r="T1154" s="12" t="str">
        <f>IF(T1153&lt;I1152,"有效","无效")</f>
        <v>有效</v>
      </c>
    </row>
    <row r="1155" spans="1:20" ht="20" customHeight="1">
      <c r="A1155" s="22"/>
      <c r="B1155" s="6" t="str">
        <f>IF(H1155&lt;=12,"有效","无效")</f>
        <v>有效</v>
      </c>
      <c r="C1155" s="34" t="s">
        <v>1908</v>
      </c>
      <c r="D1155" s="35"/>
      <c r="E1155" s="35"/>
      <c r="F1155" s="35"/>
      <c r="G1155" s="36"/>
      <c r="H1155" s="4">
        <f>LEN(C1155)</f>
        <v>10</v>
      </c>
      <c r="I1155" s="11">
        <f>MOD(H1155,2)*4+FLOOR(H1155/2,1)*6</f>
        <v>30</v>
      </c>
      <c r="J1155" s="12">
        <f>I1155+I1156</f>
        <v>48</v>
      </c>
      <c r="K1155" s="20"/>
      <c r="L1155" s="6" t="str">
        <f>IF(R1155&lt;=12,"有效","无效")</f>
        <v>有效</v>
      </c>
      <c r="M1155" s="31" t="s">
        <v>1906</v>
      </c>
      <c r="N1155" s="32"/>
      <c r="O1155" s="32"/>
      <c r="P1155" s="32"/>
      <c r="Q1155" s="33"/>
      <c r="R1155" s="10">
        <f>LEN(M1155)</f>
        <v>8</v>
      </c>
      <c r="S1155" s="10">
        <f>MOD(R1155,2)*4+FLOOR(R1155/2,1)*6</f>
        <v>24</v>
      </c>
      <c r="T1155" s="12">
        <f>S1155+S1156</f>
        <v>58</v>
      </c>
    </row>
    <row r="1156" spans="1:20" ht="20" customHeight="1">
      <c r="A1156" s="22"/>
      <c r="B1156" s="6" t="str">
        <f>IF(H1156&lt;=12,"有效","无效")</f>
        <v>有效</v>
      </c>
      <c r="C1156" s="34" t="s">
        <v>1082</v>
      </c>
      <c r="D1156" s="35"/>
      <c r="E1156" s="35"/>
      <c r="F1156" s="35"/>
      <c r="G1156" s="36"/>
      <c r="H1156" s="4">
        <f>LEN(C1156)</f>
        <v>6</v>
      </c>
      <c r="I1156" s="11">
        <f>MOD(H1156,2)*4+FLOOR(H1156/2,1)*6</f>
        <v>18</v>
      </c>
      <c r="J1156" s="12" t="str">
        <f>IF(J1155&lt;I1152,"有效","无效")</f>
        <v>有效</v>
      </c>
      <c r="K1156" s="20"/>
      <c r="L1156" s="6" t="str">
        <f>IF(R1156&lt;=12,"有效","无效")</f>
        <v>有效</v>
      </c>
      <c r="M1156" s="31" t="s">
        <v>1907</v>
      </c>
      <c r="N1156" s="32"/>
      <c r="O1156" s="32"/>
      <c r="P1156" s="32"/>
      <c r="Q1156" s="33"/>
      <c r="R1156" s="10">
        <f>LEN(M1156)</f>
        <v>11</v>
      </c>
      <c r="S1156" s="10">
        <f>MOD(R1156,2)*4+FLOOR(R1156/2,1)*6</f>
        <v>34</v>
      </c>
      <c r="T1156" s="12" t="str">
        <f>IF(T1155&lt;I1152,"有效","无效")</f>
        <v>有效</v>
      </c>
    </row>
    <row r="1157" spans="1:20" ht="20" customHeight="1">
      <c r="A1157" s="22">
        <v>232</v>
      </c>
      <c r="B1157" s="23" t="s">
        <v>379</v>
      </c>
      <c r="C1157" s="24" t="s">
        <v>380</v>
      </c>
      <c r="D1157" s="14">
        <f>LEN($B1157)</f>
        <v>2</v>
      </c>
      <c r="E1157" s="14">
        <f>LEN(C1157)+3</f>
        <v>5</v>
      </c>
      <c r="F1157" s="14">
        <f>MOD(D1157,2)*4+FLOOR(D1157/2,1)*6</f>
        <v>6</v>
      </c>
      <c r="G1157" s="14">
        <f>MOD(E1157,2)*4+FLOOR(E1157/2,1)*6</f>
        <v>16</v>
      </c>
      <c r="H1157" s="14">
        <v>12</v>
      </c>
      <c r="I1157" s="14">
        <f>108-H1157-G1157-F1157</f>
        <v>74</v>
      </c>
    </row>
    <row r="1158" spans="1:20" ht="20" customHeight="1">
      <c r="A1158" s="22"/>
      <c r="B1158" s="6" t="str">
        <f>IF(H1158&lt;=12,"有效","无效")</f>
        <v>有效</v>
      </c>
      <c r="C1158" s="31" t="s">
        <v>1911</v>
      </c>
      <c r="D1158" s="32"/>
      <c r="E1158" s="32"/>
      <c r="F1158" s="32"/>
      <c r="G1158" s="33"/>
      <c r="H1158" s="4">
        <f>LEN(C1158)</f>
        <v>7</v>
      </c>
      <c r="I1158" s="11">
        <f>MOD(H1158,2)*4+FLOOR(H1158/2,1)*6</f>
        <v>22</v>
      </c>
      <c r="J1158" s="12">
        <f>I1158+I1159</f>
        <v>56</v>
      </c>
      <c r="K1158" s="20"/>
      <c r="L1158" s="13" t="str">
        <f>IF(R1158&lt;=12,"有效","无效")</f>
        <v>有效</v>
      </c>
      <c r="M1158" s="32" t="s">
        <v>1915</v>
      </c>
      <c r="N1158" s="32"/>
      <c r="O1158" s="32"/>
      <c r="P1158" s="32"/>
      <c r="Q1158" s="33"/>
      <c r="R1158" s="10">
        <f>LEN(M1158)</f>
        <v>7</v>
      </c>
      <c r="S1158" s="10">
        <f>MOD(R1158,2)*4+FLOOR(R1158/2,1)*6</f>
        <v>22</v>
      </c>
      <c r="T1158" s="12">
        <f>S1158+S1159</f>
        <v>56</v>
      </c>
    </row>
    <row r="1159" spans="1:20" ht="20" customHeight="1">
      <c r="A1159" s="22"/>
      <c r="B1159" s="6" t="str">
        <f>IF(H1159&lt;=12,"有效","无效")</f>
        <v>有效</v>
      </c>
      <c r="C1159" s="31" t="s">
        <v>1912</v>
      </c>
      <c r="D1159" s="32"/>
      <c r="E1159" s="32"/>
      <c r="F1159" s="32"/>
      <c r="G1159" s="33"/>
      <c r="H1159" s="4">
        <f>LEN(C1159)</f>
        <v>11</v>
      </c>
      <c r="I1159" s="11">
        <f>MOD(H1159,2)*4+FLOOR(H1159/2,1)*6</f>
        <v>34</v>
      </c>
      <c r="J1159" s="12" t="str">
        <f>IF(J1158&lt;I1157,"有效","无效")</f>
        <v>有效</v>
      </c>
      <c r="K1159" s="20"/>
      <c r="L1159" s="6" t="str">
        <f>IF(R1159&lt;=12,"有效","无效")</f>
        <v>有效</v>
      </c>
      <c r="M1159" s="31" t="s">
        <v>1916</v>
      </c>
      <c r="N1159" s="32"/>
      <c r="O1159" s="32"/>
      <c r="P1159" s="32"/>
      <c r="Q1159" s="33"/>
      <c r="R1159" s="10">
        <f>LEN(M1159)</f>
        <v>11</v>
      </c>
      <c r="S1159" s="10">
        <f>MOD(R1159,2)*4+FLOOR(R1159/2,1)*6</f>
        <v>34</v>
      </c>
      <c r="T1159" s="12" t="str">
        <f>IF(T1158&lt;I1157,"有效","无效")</f>
        <v>有效</v>
      </c>
    </row>
    <row r="1160" spans="1:20" ht="20" customHeight="1">
      <c r="A1160" s="22"/>
      <c r="B1160" s="6" t="str">
        <f>IF(H1160&lt;=12,"有效","无效")</f>
        <v>有效</v>
      </c>
      <c r="C1160" s="31" t="s">
        <v>1913</v>
      </c>
      <c r="D1160" s="32"/>
      <c r="E1160" s="32"/>
      <c r="F1160" s="32"/>
      <c r="G1160" s="33"/>
      <c r="H1160" s="4">
        <f>LEN(C1160)</f>
        <v>6</v>
      </c>
      <c r="I1160" s="11">
        <f>MOD(H1160,2)*4+FLOOR(H1160/2,1)*6</f>
        <v>18</v>
      </c>
      <c r="J1160" s="12">
        <f>I1160+I1161</f>
        <v>42</v>
      </c>
      <c r="K1160" s="20"/>
      <c r="L1160" s="6" t="str">
        <f>IF(R1160&lt;=12,"有效","无效")</f>
        <v>有效</v>
      </c>
      <c r="M1160" s="31" t="s">
        <v>1917</v>
      </c>
      <c r="N1160" s="32"/>
      <c r="O1160" s="32"/>
      <c r="P1160" s="32"/>
      <c r="Q1160" s="33"/>
      <c r="R1160" s="10">
        <f>LEN(M1160)</f>
        <v>4</v>
      </c>
      <c r="S1160" s="10">
        <f>MOD(R1160,2)*4+FLOOR(R1160/2,1)*6</f>
        <v>12</v>
      </c>
      <c r="T1160" s="12">
        <f>S1160+S1161</f>
        <v>34</v>
      </c>
    </row>
    <row r="1161" spans="1:20" ht="20" customHeight="1">
      <c r="A1161" s="22"/>
      <c r="B1161" s="6" t="str">
        <f>IF(H1161&lt;=12,"有效","无效")</f>
        <v>有效</v>
      </c>
      <c r="C1161" s="31" t="s">
        <v>1914</v>
      </c>
      <c r="D1161" s="32"/>
      <c r="E1161" s="32"/>
      <c r="F1161" s="32"/>
      <c r="G1161" s="33"/>
      <c r="H1161" s="4">
        <f>LEN(C1161)</f>
        <v>8</v>
      </c>
      <c r="I1161" s="11">
        <f>MOD(H1161,2)*4+FLOOR(H1161/2,1)*6</f>
        <v>24</v>
      </c>
      <c r="J1161" s="12" t="str">
        <f>IF(J1160&lt;I1157,"有效","无效")</f>
        <v>有效</v>
      </c>
      <c r="K1161" s="20"/>
      <c r="L1161" s="6" t="str">
        <f>IF(R1161&lt;=12,"有效","无效")</f>
        <v>有效</v>
      </c>
      <c r="M1161" s="31" t="s">
        <v>1918</v>
      </c>
      <c r="N1161" s="32"/>
      <c r="O1161" s="32"/>
      <c r="P1161" s="32"/>
      <c r="Q1161" s="33"/>
      <c r="R1161" s="10">
        <f>LEN(M1161)</f>
        <v>7</v>
      </c>
      <c r="S1161" s="10">
        <f>MOD(R1161,2)*4+FLOOR(R1161/2,1)*6</f>
        <v>22</v>
      </c>
      <c r="T1161" s="12" t="str">
        <f>IF(T1160&lt;I1157,"有效","无效")</f>
        <v>有效</v>
      </c>
    </row>
    <row r="1162" spans="1:20" ht="20" customHeight="1">
      <c r="A1162" s="22">
        <v>233</v>
      </c>
      <c r="B1162" s="23" t="s">
        <v>422</v>
      </c>
      <c r="C1162" s="24" t="s">
        <v>225</v>
      </c>
      <c r="D1162" s="14">
        <f>LEN($B1162)</f>
        <v>5</v>
      </c>
      <c r="E1162" s="14">
        <f>LEN(C1162)+3</f>
        <v>5</v>
      </c>
      <c r="F1162" s="14">
        <f>MOD(D1162,2)*4+FLOOR(D1162/2,1)*6</f>
        <v>16</v>
      </c>
      <c r="G1162" s="14">
        <f>MOD(E1162,2)*4+FLOOR(E1162/2,1)*6</f>
        <v>16</v>
      </c>
      <c r="H1162" s="14">
        <v>12</v>
      </c>
      <c r="I1162" s="14">
        <f>108-H1162-G1162-F1162</f>
        <v>64</v>
      </c>
    </row>
    <row r="1163" spans="1:20" ht="20" customHeight="1">
      <c r="A1163" s="22"/>
      <c r="B1163" s="6" t="str">
        <f>IF(H1163&lt;=12,"有效","无效")</f>
        <v>有效</v>
      </c>
      <c r="C1163" s="31" t="s">
        <v>1919</v>
      </c>
      <c r="D1163" s="32"/>
      <c r="E1163" s="32"/>
      <c r="F1163" s="32"/>
      <c r="G1163" s="33"/>
      <c r="H1163" s="4">
        <f>LEN(C1163)</f>
        <v>8</v>
      </c>
      <c r="I1163" s="11">
        <f>MOD(H1163,2)*4+FLOOR(H1163/2,1)*6</f>
        <v>24</v>
      </c>
      <c r="J1163" s="12">
        <f>I1163+I1164</f>
        <v>54</v>
      </c>
      <c r="K1163" s="20"/>
      <c r="L1163" s="13" t="str">
        <f>IF(R1163&lt;=12,"有效","无效")</f>
        <v>有效</v>
      </c>
      <c r="M1163" s="32" t="s">
        <v>1923</v>
      </c>
      <c r="N1163" s="32"/>
      <c r="O1163" s="32"/>
      <c r="P1163" s="32"/>
      <c r="Q1163" s="33"/>
      <c r="R1163" s="10">
        <f>LEN(M1163)</f>
        <v>10</v>
      </c>
      <c r="S1163" s="10">
        <f>MOD(R1163,2)*4+FLOOR(R1163/2,1)*6</f>
        <v>30</v>
      </c>
      <c r="T1163" s="12">
        <f>S1163+S1164</f>
        <v>54</v>
      </c>
    </row>
    <row r="1164" spans="1:20" ht="20" customHeight="1">
      <c r="A1164" s="22"/>
      <c r="B1164" s="6" t="str">
        <f>IF(H1164&lt;=12,"有效","无效")</f>
        <v>有效</v>
      </c>
      <c r="C1164" s="31" t="s">
        <v>1920</v>
      </c>
      <c r="D1164" s="32"/>
      <c r="E1164" s="32"/>
      <c r="F1164" s="32"/>
      <c r="G1164" s="33"/>
      <c r="H1164" s="4">
        <f>LEN(C1164)</f>
        <v>10</v>
      </c>
      <c r="I1164" s="11">
        <f>MOD(H1164,2)*4+FLOOR(H1164/2,1)*6</f>
        <v>30</v>
      </c>
      <c r="J1164" s="12" t="str">
        <f>IF(J1163&lt;I1162,"有效","无效")</f>
        <v>有效</v>
      </c>
      <c r="K1164" s="20"/>
      <c r="L1164" s="6" t="str">
        <f>IF(R1164&lt;=12,"有效","无效")</f>
        <v>有效</v>
      </c>
      <c r="M1164" s="31" t="s">
        <v>1924</v>
      </c>
      <c r="N1164" s="32"/>
      <c r="O1164" s="32"/>
      <c r="P1164" s="32"/>
      <c r="Q1164" s="33"/>
      <c r="R1164" s="10">
        <f>LEN(M1164)</f>
        <v>8</v>
      </c>
      <c r="S1164" s="10">
        <f>MOD(R1164,2)*4+FLOOR(R1164/2,1)*6</f>
        <v>24</v>
      </c>
      <c r="T1164" s="12" t="str">
        <f>IF(T1163&lt;I1162,"有效","无效")</f>
        <v>有效</v>
      </c>
    </row>
    <row r="1165" spans="1:20" ht="20" customHeight="1">
      <c r="A1165" s="22"/>
      <c r="B1165" s="6" t="str">
        <f>IF(H1165&lt;=12,"有效","无效")</f>
        <v>有效</v>
      </c>
      <c r="C1165" s="31" t="s">
        <v>1921</v>
      </c>
      <c r="D1165" s="32"/>
      <c r="E1165" s="32"/>
      <c r="F1165" s="32"/>
      <c r="G1165" s="33"/>
      <c r="H1165" s="4">
        <f>LEN(C1165)</f>
        <v>6</v>
      </c>
      <c r="I1165" s="11">
        <f>MOD(H1165,2)*4+FLOOR(H1165/2,1)*6</f>
        <v>18</v>
      </c>
      <c r="J1165" s="12">
        <f>I1165+I1166</f>
        <v>36</v>
      </c>
      <c r="K1165" s="20"/>
      <c r="L1165" s="6" t="str">
        <f>IF(R1165&lt;=12,"有效","无效")</f>
        <v>有效</v>
      </c>
      <c r="M1165" s="31" t="s">
        <v>1925</v>
      </c>
      <c r="N1165" s="32"/>
      <c r="O1165" s="32"/>
      <c r="P1165" s="32"/>
      <c r="Q1165" s="33"/>
      <c r="R1165" s="10">
        <f>LEN(M1165)</f>
        <v>6</v>
      </c>
      <c r="S1165" s="10">
        <f>MOD(R1165,2)*4+FLOOR(R1165/2,1)*6</f>
        <v>18</v>
      </c>
      <c r="T1165" s="12">
        <f>S1165+S1166</f>
        <v>46</v>
      </c>
    </row>
    <row r="1166" spans="1:20" ht="20" customHeight="1">
      <c r="A1166" s="22"/>
      <c r="B1166" s="6" t="str">
        <f>IF(H1166&lt;=12,"有效","无效")</f>
        <v>有效</v>
      </c>
      <c r="C1166" s="31" t="s">
        <v>1922</v>
      </c>
      <c r="D1166" s="32"/>
      <c r="E1166" s="32"/>
      <c r="F1166" s="32"/>
      <c r="G1166" s="33"/>
      <c r="H1166" s="4">
        <f>LEN(C1166)</f>
        <v>6</v>
      </c>
      <c r="I1166" s="11">
        <f>MOD(H1166,2)*4+FLOOR(H1166/2,1)*6</f>
        <v>18</v>
      </c>
      <c r="J1166" s="12" t="str">
        <f>IF(J1165&lt;I1162,"有效","无效")</f>
        <v>有效</v>
      </c>
      <c r="K1166" s="20"/>
      <c r="L1166" s="6" t="str">
        <f>IF(R1166&lt;=12,"有效","无效")</f>
        <v>有效</v>
      </c>
      <c r="M1166" s="31" t="s">
        <v>1926</v>
      </c>
      <c r="N1166" s="32"/>
      <c r="O1166" s="32"/>
      <c r="P1166" s="32"/>
      <c r="Q1166" s="33"/>
      <c r="R1166" s="10">
        <f>LEN(M1166)</f>
        <v>9</v>
      </c>
      <c r="S1166" s="10">
        <f>MOD(R1166,2)*4+FLOOR(R1166/2,1)*6</f>
        <v>28</v>
      </c>
      <c r="T1166" s="12" t="str">
        <f>IF(T1165&lt;I1162,"有效","无效")</f>
        <v>有效</v>
      </c>
    </row>
    <row r="1167" spans="1:20" ht="20" customHeight="1">
      <c r="A1167" s="22">
        <v>234</v>
      </c>
      <c r="B1167" s="23" t="s">
        <v>381</v>
      </c>
      <c r="C1167" s="24" t="s">
        <v>382</v>
      </c>
      <c r="D1167" s="14">
        <f>LEN($B1167)</f>
        <v>3</v>
      </c>
      <c r="E1167" s="14">
        <f>LEN(C1167)+3</f>
        <v>5</v>
      </c>
      <c r="F1167" s="14">
        <f>MOD(D1167,2)*4+FLOOR(D1167/2,1)*6</f>
        <v>10</v>
      </c>
      <c r="G1167" s="14">
        <f>MOD(E1167,2)*4+FLOOR(E1167/2,1)*6</f>
        <v>16</v>
      </c>
      <c r="H1167" s="14">
        <v>12</v>
      </c>
      <c r="I1167" s="14">
        <f>108-H1167-G1167-F1167</f>
        <v>70</v>
      </c>
    </row>
    <row r="1168" spans="1:20" ht="20" customHeight="1">
      <c r="A1168" s="22"/>
      <c r="B1168" s="6" t="str">
        <f>IF(H1168&lt;=12,"有效","无效")</f>
        <v>有效</v>
      </c>
      <c r="C1168" s="31" t="s">
        <v>1927</v>
      </c>
      <c r="D1168" s="32"/>
      <c r="E1168" s="32"/>
      <c r="F1168" s="32"/>
      <c r="G1168" s="33"/>
      <c r="H1168" s="4">
        <f>LEN(C1168)</f>
        <v>9</v>
      </c>
      <c r="I1168" s="11">
        <f>MOD(H1168,2)*4+FLOOR(H1168/2,1)*6</f>
        <v>28</v>
      </c>
      <c r="J1168" s="12">
        <f>I1168+I1169</f>
        <v>58</v>
      </c>
      <c r="K1168" s="20"/>
      <c r="L1168" s="13" t="str">
        <f>IF(R1168&lt;=12,"有效","无效")</f>
        <v>有效</v>
      </c>
      <c r="M1168" s="35" t="s">
        <v>1931</v>
      </c>
      <c r="N1168" s="35"/>
      <c r="O1168" s="35"/>
      <c r="P1168" s="35"/>
      <c r="Q1168" s="36"/>
      <c r="R1168" s="10">
        <f>LEN(M1168)</f>
        <v>8</v>
      </c>
      <c r="S1168" s="10">
        <f>MOD(R1168,2)*4+FLOOR(R1168/2,1)*6</f>
        <v>24</v>
      </c>
      <c r="T1168" s="12">
        <f>S1168+S1169</f>
        <v>52</v>
      </c>
    </row>
    <row r="1169" spans="1:20" ht="20" customHeight="1">
      <c r="A1169" s="22"/>
      <c r="B1169" s="6" t="str">
        <f>IF(H1169&lt;=12,"有效","无效")</f>
        <v>有效</v>
      </c>
      <c r="C1169" s="31" t="s">
        <v>1928</v>
      </c>
      <c r="D1169" s="32"/>
      <c r="E1169" s="32"/>
      <c r="F1169" s="32"/>
      <c r="G1169" s="33"/>
      <c r="H1169" s="4">
        <f>LEN(C1169)</f>
        <v>10</v>
      </c>
      <c r="I1169" s="11">
        <f>MOD(H1169,2)*4+FLOOR(H1169/2,1)*6</f>
        <v>30</v>
      </c>
      <c r="J1169" s="12" t="str">
        <f>IF(J1168&lt;I1167,"有效","无效")</f>
        <v>有效</v>
      </c>
      <c r="K1169" s="20"/>
      <c r="L1169" s="6" t="str">
        <f>IF(R1169&lt;=12,"有效","无效")</f>
        <v>有效</v>
      </c>
      <c r="M1169" s="34" t="s">
        <v>1932</v>
      </c>
      <c r="N1169" s="35"/>
      <c r="O1169" s="35"/>
      <c r="P1169" s="35"/>
      <c r="Q1169" s="36"/>
      <c r="R1169" s="10">
        <f>LEN(M1169)</f>
        <v>9</v>
      </c>
      <c r="S1169" s="10">
        <f>MOD(R1169,2)*4+FLOOR(R1169/2,1)*6</f>
        <v>28</v>
      </c>
      <c r="T1169" s="12" t="str">
        <f>IF(T1168&lt;I1167,"有效","无效")</f>
        <v>有效</v>
      </c>
    </row>
    <row r="1170" spans="1:20" ht="20" customHeight="1">
      <c r="A1170" s="22"/>
      <c r="B1170" s="6" t="str">
        <f>IF(H1170&lt;=12,"有效","无效")</f>
        <v>有效</v>
      </c>
      <c r="C1170" s="31" t="s">
        <v>1929</v>
      </c>
      <c r="D1170" s="32"/>
      <c r="E1170" s="32"/>
      <c r="F1170" s="32"/>
      <c r="G1170" s="33"/>
      <c r="H1170" s="4">
        <f>LEN(C1170)</f>
        <v>5</v>
      </c>
      <c r="I1170" s="11">
        <f>MOD(H1170,2)*4+FLOOR(H1170/2,1)*6</f>
        <v>16</v>
      </c>
      <c r="J1170" s="12">
        <f>I1170+I1171</f>
        <v>34</v>
      </c>
      <c r="K1170" s="20"/>
      <c r="L1170" s="6" t="str">
        <f>IF(R1170&lt;=12,"有效","无效")</f>
        <v>有效</v>
      </c>
      <c r="M1170" s="34" t="s">
        <v>1933</v>
      </c>
      <c r="N1170" s="35"/>
      <c r="O1170" s="35"/>
      <c r="P1170" s="35"/>
      <c r="Q1170" s="36"/>
      <c r="R1170" s="10">
        <f>LEN(M1170)</f>
        <v>7</v>
      </c>
      <c r="S1170" s="10">
        <f>MOD(R1170,2)*4+FLOOR(R1170/2,1)*6</f>
        <v>22</v>
      </c>
      <c r="T1170" s="12">
        <f>S1170+S1171</f>
        <v>50</v>
      </c>
    </row>
    <row r="1171" spans="1:20" ht="20" customHeight="1">
      <c r="A1171" s="22"/>
      <c r="B1171" s="6" t="str">
        <f>IF(H1171&lt;=12,"有效","无效")</f>
        <v>有效</v>
      </c>
      <c r="C1171" s="31" t="s">
        <v>1930</v>
      </c>
      <c r="D1171" s="32"/>
      <c r="E1171" s="32"/>
      <c r="F1171" s="32"/>
      <c r="G1171" s="33"/>
      <c r="H1171" s="4">
        <f>LEN(C1171)</f>
        <v>6</v>
      </c>
      <c r="I1171" s="11">
        <f>MOD(H1171,2)*4+FLOOR(H1171/2,1)*6</f>
        <v>18</v>
      </c>
      <c r="J1171" s="12" t="str">
        <f>IF(J1170&lt;I1167,"有效","无效")</f>
        <v>有效</v>
      </c>
      <c r="K1171" s="20"/>
      <c r="L1171" s="6" t="str">
        <f>IF(R1171&lt;=12,"有效","无效")</f>
        <v>有效</v>
      </c>
      <c r="M1171" s="34" t="s">
        <v>1934</v>
      </c>
      <c r="N1171" s="35"/>
      <c r="O1171" s="35"/>
      <c r="P1171" s="35"/>
      <c r="Q1171" s="36"/>
      <c r="R1171" s="10">
        <f>LEN(M1171)</f>
        <v>9</v>
      </c>
      <c r="S1171" s="10">
        <f>MOD(R1171,2)*4+FLOOR(R1171/2,1)*6</f>
        <v>28</v>
      </c>
      <c r="T1171" s="12" t="str">
        <f>IF(T1170&lt;I1167,"有效","无效")</f>
        <v>有效</v>
      </c>
    </row>
    <row r="1172" spans="1:20" ht="20" customHeight="1">
      <c r="A1172" s="22">
        <v>235</v>
      </c>
      <c r="B1172" s="23" t="s">
        <v>383</v>
      </c>
      <c r="C1172" s="24" t="s">
        <v>384</v>
      </c>
      <c r="D1172" s="14">
        <f>LEN($B1172)</f>
        <v>3</v>
      </c>
      <c r="E1172" s="14">
        <f>LEN(C1172)+3</f>
        <v>5</v>
      </c>
      <c r="F1172" s="14">
        <f>MOD(D1172,2)*4+FLOOR(D1172/2,1)*6</f>
        <v>10</v>
      </c>
      <c r="G1172" s="14">
        <f>MOD(E1172,2)*4+FLOOR(E1172/2,1)*6</f>
        <v>16</v>
      </c>
      <c r="H1172" s="14">
        <v>12</v>
      </c>
      <c r="I1172" s="14">
        <f>108-H1172-G1172-F1172</f>
        <v>70</v>
      </c>
    </row>
    <row r="1173" spans="1:20" ht="20" customHeight="1">
      <c r="A1173" s="22"/>
      <c r="B1173" s="6" t="str">
        <f>IF(H1173&lt;=12,"有效","无效")</f>
        <v>有效</v>
      </c>
      <c r="C1173" s="34" t="s">
        <v>1935</v>
      </c>
      <c r="D1173" s="35"/>
      <c r="E1173" s="35"/>
      <c r="F1173" s="35"/>
      <c r="G1173" s="36"/>
      <c r="H1173" s="4">
        <f>LEN(C1173)</f>
        <v>9</v>
      </c>
      <c r="I1173" s="11">
        <f>MOD(H1173,2)*4+FLOOR(H1173/2,1)*6</f>
        <v>28</v>
      </c>
      <c r="J1173" s="12">
        <f>I1173+I1174</f>
        <v>56</v>
      </c>
      <c r="K1173" s="20"/>
      <c r="L1173" s="13" t="str">
        <f>IF(R1173&lt;=12,"有效","无效")</f>
        <v>有效</v>
      </c>
      <c r="M1173" s="32" t="s">
        <v>1939</v>
      </c>
      <c r="N1173" s="32"/>
      <c r="O1173" s="32"/>
      <c r="P1173" s="32"/>
      <c r="Q1173" s="33"/>
      <c r="R1173" s="10">
        <f>LEN(M1173)</f>
        <v>5</v>
      </c>
      <c r="S1173" s="10">
        <f>MOD(R1173,2)*4+FLOOR(R1173/2,1)*6</f>
        <v>16</v>
      </c>
      <c r="T1173" s="12">
        <f>S1173+S1174</f>
        <v>40</v>
      </c>
    </row>
    <row r="1174" spans="1:20" ht="20" customHeight="1">
      <c r="A1174" s="22"/>
      <c r="B1174" s="6" t="str">
        <f>IF(H1174&lt;=12,"有效","无效")</f>
        <v>有效</v>
      </c>
      <c r="C1174" s="34" t="s">
        <v>1936</v>
      </c>
      <c r="D1174" s="35"/>
      <c r="E1174" s="35"/>
      <c r="F1174" s="35"/>
      <c r="G1174" s="36"/>
      <c r="H1174" s="4">
        <f>LEN(C1174)</f>
        <v>9</v>
      </c>
      <c r="I1174" s="11">
        <f>MOD(H1174,2)*4+FLOOR(H1174/2,1)*6</f>
        <v>28</v>
      </c>
      <c r="J1174" s="12" t="str">
        <f>IF(J1173&lt;I1172,"有效","无效")</f>
        <v>有效</v>
      </c>
      <c r="K1174" s="20"/>
      <c r="L1174" s="6" t="str">
        <f>IF(R1174&lt;=12,"有效","无效")</f>
        <v>有效</v>
      </c>
      <c r="M1174" s="31" t="s">
        <v>1940</v>
      </c>
      <c r="N1174" s="32"/>
      <c r="O1174" s="32"/>
      <c r="P1174" s="32"/>
      <c r="Q1174" s="33"/>
      <c r="R1174" s="10">
        <f>LEN(M1174)</f>
        <v>8</v>
      </c>
      <c r="S1174" s="10">
        <f>MOD(R1174,2)*4+FLOOR(R1174/2,1)*6</f>
        <v>24</v>
      </c>
      <c r="T1174" s="12" t="str">
        <f>IF(T1173&lt;I1172,"有效","无效")</f>
        <v>有效</v>
      </c>
    </row>
    <row r="1175" spans="1:20" ht="20" customHeight="1">
      <c r="A1175" s="22"/>
      <c r="B1175" s="6" t="str">
        <f>IF(H1175&lt;=12,"有效","无效")</f>
        <v>有效</v>
      </c>
      <c r="C1175" s="34" t="s">
        <v>1937</v>
      </c>
      <c r="D1175" s="35"/>
      <c r="E1175" s="35"/>
      <c r="F1175" s="35"/>
      <c r="G1175" s="36"/>
      <c r="H1175" s="4">
        <f>LEN(C1175)</f>
        <v>5</v>
      </c>
      <c r="I1175" s="11">
        <f>MOD(H1175,2)*4+FLOOR(H1175/2,1)*6</f>
        <v>16</v>
      </c>
      <c r="J1175" s="12">
        <f>I1175+I1176</f>
        <v>34</v>
      </c>
      <c r="K1175" s="20"/>
      <c r="L1175" s="6" t="str">
        <f>IF(R1175&lt;=12,"有效","无效")</f>
        <v>有效</v>
      </c>
      <c r="M1175" s="31" t="s">
        <v>1941</v>
      </c>
      <c r="N1175" s="32"/>
      <c r="O1175" s="32"/>
      <c r="P1175" s="32"/>
      <c r="Q1175" s="33"/>
      <c r="R1175" s="10">
        <f>LEN(M1175)</f>
        <v>4</v>
      </c>
      <c r="S1175" s="10">
        <f>MOD(R1175,2)*4+FLOOR(R1175/2,1)*6</f>
        <v>12</v>
      </c>
      <c r="T1175" s="12">
        <f>S1175+S1176</f>
        <v>30</v>
      </c>
    </row>
    <row r="1176" spans="1:20" ht="20" customHeight="1">
      <c r="A1176" s="22"/>
      <c r="B1176" s="6" t="str">
        <f>IF(H1176&lt;=12,"有效","无效")</f>
        <v>有效</v>
      </c>
      <c r="C1176" s="34" t="s">
        <v>1938</v>
      </c>
      <c r="D1176" s="35"/>
      <c r="E1176" s="35"/>
      <c r="F1176" s="35"/>
      <c r="G1176" s="36"/>
      <c r="H1176" s="4">
        <f>LEN(C1176)</f>
        <v>6</v>
      </c>
      <c r="I1176" s="11">
        <f>MOD(H1176,2)*4+FLOOR(H1176/2,1)*6</f>
        <v>18</v>
      </c>
      <c r="J1176" s="12" t="str">
        <f>IF(J1175&lt;I1172,"有效","无效")</f>
        <v>有效</v>
      </c>
      <c r="K1176" s="20"/>
      <c r="L1176" s="6" t="str">
        <f>IF(R1176&lt;=12,"有效","无效")</f>
        <v>有效</v>
      </c>
      <c r="M1176" s="31" t="s">
        <v>1942</v>
      </c>
      <c r="N1176" s="32"/>
      <c r="O1176" s="32"/>
      <c r="P1176" s="32"/>
      <c r="Q1176" s="33"/>
      <c r="R1176" s="10">
        <f>LEN(M1176)</f>
        <v>6</v>
      </c>
      <c r="S1176" s="10">
        <f>MOD(R1176,2)*4+FLOOR(R1176/2,1)*6</f>
        <v>18</v>
      </c>
      <c r="T1176" s="12" t="str">
        <f>IF(T1175&lt;I1172,"有效","无效")</f>
        <v>有效</v>
      </c>
    </row>
    <row r="1177" spans="1:20" ht="20" customHeight="1">
      <c r="A1177" s="22">
        <v>236</v>
      </c>
      <c r="B1177" s="23" t="s">
        <v>385</v>
      </c>
      <c r="C1177" s="24" t="s">
        <v>386</v>
      </c>
      <c r="D1177" s="14">
        <f>LEN($B1177)</f>
        <v>4</v>
      </c>
      <c r="E1177" s="14">
        <f>LEN(C1177)+3</f>
        <v>5</v>
      </c>
      <c r="F1177" s="14">
        <f>MOD(D1177,2)*4+FLOOR(D1177/2,1)*6</f>
        <v>12</v>
      </c>
      <c r="G1177" s="14">
        <f>MOD(E1177,2)*4+FLOOR(E1177/2,1)*6</f>
        <v>16</v>
      </c>
      <c r="H1177" s="14">
        <v>12</v>
      </c>
      <c r="I1177" s="14">
        <f>108-H1177-G1177-F1177</f>
        <v>68</v>
      </c>
    </row>
    <row r="1178" spans="1:20" ht="20" customHeight="1">
      <c r="A1178" s="22"/>
      <c r="B1178" s="6" t="str">
        <f>IF(H1178&lt;=12,"有效","无效")</f>
        <v>有效</v>
      </c>
      <c r="C1178" s="31" t="s">
        <v>1943</v>
      </c>
      <c r="D1178" s="32"/>
      <c r="E1178" s="32"/>
      <c r="F1178" s="32"/>
      <c r="G1178" s="33"/>
      <c r="H1178" s="4">
        <f>LEN(C1178)</f>
        <v>12</v>
      </c>
      <c r="I1178" s="11">
        <f>MOD(H1178,2)*4+FLOOR(H1178/2,1)*6</f>
        <v>36</v>
      </c>
      <c r="J1178" s="12">
        <f>I1178+I1179</f>
        <v>58</v>
      </c>
      <c r="K1178" s="20"/>
      <c r="L1178" s="13" t="str">
        <f>IF(R1178&lt;=12,"有效","无效")</f>
        <v>有效</v>
      </c>
      <c r="M1178" s="32" t="s">
        <v>1947</v>
      </c>
      <c r="N1178" s="32"/>
      <c r="O1178" s="32"/>
      <c r="P1178" s="32"/>
      <c r="Q1178" s="33"/>
      <c r="R1178" s="10">
        <f>LEN(M1178)</f>
        <v>10</v>
      </c>
      <c r="S1178" s="10">
        <f>MOD(R1178,2)*4+FLOOR(R1178/2,1)*6</f>
        <v>30</v>
      </c>
      <c r="T1178" s="12">
        <f>S1178+S1179</f>
        <v>66</v>
      </c>
    </row>
    <row r="1179" spans="1:20" ht="20" customHeight="1">
      <c r="A1179" s="22"/>
      <c r="B1179" s="6" t="str">
        <f>IF(H1179&lt;=12,"有效","无效")</f>
        <v>有效</v>
      </c>
      <c r="C1179" s="31" t="s">
        <v>1946</v>
      </c>
      <c r="D1179" s="32"/>
      <c r="E1179" s="32"/>
      <c r="F1179" s="32"/>
      <c r="G1179" s="33"/>
      <c r="H1179" s="4">
        <f>LEN(C1179)</f>
        <v>7</v>
      </c>
      <c r="I1179" s="11">
        <f>MOD(H1179,2)*4+FLOOR(H1179/2,1)*6</f>
        <v>22</v>
      </c>
      <c r="J1179" s="12" t="str">
        <f>IF(J1178&lt;I1177,"有效","无效")</f>
        <v>有效</v>
      </c>
      <c r="K1179" s="20"/>
      <c r="L1179" s="6" t="str">
        <f>IF(R1179&lt;=12,"有效","无效")</f>
        <v>有效</v>
      </c>
      <c r="M1179" s="31" t="s">
        <v>1948</v>
      </c>
      <c r="N1179" s="32"/>
      <c r="O1179" s="32"/>
      <c r="P1179" s="32"/>
      <c r="Q1179" s="33"/>
      <c r="R1179" s="10">
        <f>LEN(M1179)</f>
        <v>12</v>
      </c>
      <c r="S1179" s="10">
        <f>MOD(R1179,2)*4+FLOOR(R1179/2,1)*6</f>
        <v>36</v>
      </c>
      <c r="T1179" s="12" t="str">
        <f>IF(T1178&lt;I1177,"有效","无效")</f>
        <v>有效</v>
      </c>
    </row>
    <row r="1180" spans="1:20" ht="20" customHeight="1">
      <c r="A1180" s="22"/>
      <c r="B1180" s="6" t="str">
        <f>IF(H1180&lt;=12,"有效","无效")</f>
        <v>有效</v>
      </c>
      <c r="C1180" s="31" t="s">
        <v>1945</v>
      </c>
      <c r="D1180" s="32"/>
      <c r="E1180" s="32"/>
      <c r="F1180" s="32"/>
      <c r="G1180" s="33"/>
      <c r="H1180" s="4">
        <f>LEN(C1180)</f>
        <v>10</v>
      </c>
      <c r="I1180" s="11">
        <f>MOD(H1180,2)*4+FLOOR(H1180/2,1)*6</f>
        <v>30</v>
      </c>
      <c r="J1180" s="12">
        <f>I1180+I1181</f>
        <v>64</v>
      </c>
      <c r="K1180" s="20"/>
      <c r="L1180" s="6" t="str">
        <f>IF(R1180&lt;=12,"有效","无效")</f>
        <v>有效</v>
      </c>
      <c r="M1180" s="31" t="s">
        <v>1949</v>
      </c>
      <c r="N1180" s="32"/>
      <c r="O1180" s="32"/>
      <c r="P1180" s="32"/>
      <c r="Q1180" s="33"/>
      <c r="R1180" s="10">
        <f>LEN(M1180)</f>
        <v>7</v>
      </c>
      <c r="S1180" s="10">
        <f>MOD(R1180,2)*4+FLOOR(R1180/2,1)*6</f>
        <v>22</v>
      </c>
      <c r="T1180" s="12">
        <f>S1180+S1181</f>
        <v>38</v>
      </c>
    </row>
    <row r="1181" spans="1:20" ht="20" customHeight="1">
      <c r="A1181" s="22"/>
      <c r="B1181" s="6" t="str">
        <f>IF(H1181&lt;=12,"有效","无效")</f>
        <v>有效</v>
      </c>
      <c r="C1181" s="31" t="s">
        <v>1944</v>
      </c>
      <c r="D1181" s="32"/>
      <c r="E1181" s="32"/>
      <c r="F1181" s="32"/>
      <c r="G1181" s="33"/>
      <c r="H1181" s="4">
        <f>LEN(C1181)</f>
        <v>11</v>
      </c>
      <c r="I1181" s="11">
        <f>MOD(H1181,2)*4+FLOOR(H1181/2,1)*6</f>
        <v>34</v>
      </c>
      <c r="J1181" s="12" t="str">
        <f>IF(J1180&lt;I1177,"有效","无效")</f>
        <v>有效</v>
      </c>
      <c r="K1181" s="20"/>
      <c r="L1181" s="6" t="str">
        <f>IF(R1181&lt;=12,"有效","无效")</f>
        <v>有效</v>
      </c>
      <c r="M1181" s="31" t="s">
        <v>1950</v>
      </c>
      <c r="N1181" s="32"/>
      <c r="O1181" s="32"/>
      <c r="P1181" s="32"/>
      <c r="Q1181" s="33"/>
      <c r="R1181" s="10">
        <f>LEN(M1181)</f>
        <v>5</v>
      </c>
      <c r="S1181" s="10">
        <f>MOD(R1181,2)*4+FLOOR(R1181/2,1)*6</f>
        <v>16</v>
      </c>
      <c r="T1181" s="12" t="str">
        <f>IF(T1180&lt;I1177,"有效","无效")</f>
        <v>有效</v>
      </c>
    </row>
    <row r="1182" spans="1:20" ht="20" customHeight="1">
      <c r="A1182" s="22">
        <v>237</v>
      </c>
      <c r="B1182" s="23" t="s">
        <v>387</v>
      </c>
      <c r="C1182" s="24" t="s">
        <v>388</v>
      </c>
      <c r="D1182" s="14">
        <f>LEN($B1182)</f>
        <v>3</v>
      </c>
      <c r="E1182" s="14">
        <f>LEN(C1182)+3</f>
        <v>5</v>
      </c>
      <c r="F1182" s="14">
        <f>MOD(D1182,2)*4+FLOOR(D1182/2,1)*6</f>
        <v>10</v>
      </c>
      <c r="G1182" s="14">
        <f>MOD(E1182,2)*4+FLOOR(E1182/2,1)*6</f>
        <v>16</v>
      </c>
      <c r="H1182" s="14">
        <v>12</v>
      </c>
      <c r="I1182" s="14">
        <f>108-H1182-G1182-F1182</f>
        <v>70</v>
      </c>
    </row>
    <row r="1183" spans="1:20" ht="20" customHeight="1">
      <c r="A1183" s="22"/>
      <c r="B1183" s="6" t="str">
        <f>IF(H1183&lt;=12,"有效","无效")</f>
        <v>有效</v>
      </c>
      <c r="C1183" s="31" t="s">
        <v>1951</v>
      </c>
      <c r="D1183" s="32"/>
      <c r="E1183" s="32"/>
      <c r="F1183" s="32"/>
      <c r="G1183" s="33"/>
      <c r="H1183" s="4">
        <f>LEN(C1183)</f>
        <v>11</v>
      </c>
      <c r="I1183" s="11">
        <f>MOD(H1183,2)*4+FLOOR(H1183/2,1)*6</f>
        <v>34</v>
      </c>
      <c r="J1183" s="12">
        <f>I1183+I1184</f>
        <v>64</v>
      </c>
      <c r="K1183" s="20"/>
      <c r="L1183" s="13" t="str">
        <f>IF(R1183&lt;=12,"有效","无效")</f>
        <v>有效</v>
      </c>
      <c r="M1183" s="32" t="s">
        <v>1955</v>
      </c>
      <c r="N1183" s="32"/>
      <c r="O1183" s="32"/>
      <c r="P1183" s="32"/>
      <c r="Q1183" s="33"/>
      <c r="R1183" s="10">
        <f>LEN(M1183)</f>
        <v>5</v>
      </c>
      <c r="S1183" s="10">
        <f>MOD(R1183,2)*4+FLOOR(R1183/2,1)*6</f>
        <v>16</v>
      </c>
      <c r="T1183" s="12">
        <f>S1183+S1184</f>
        <v>32</v>
      </c>
    </row>
    <row r="1184" spans="1:20" ht="20" customHeight="1">
      <c r="A1184" s="22"/>
      <c r="B1184" s="6" t="str">
        <f>IF(H1184&lt;=12,"有效","无效")</f>
        <v>有效</v>
      </c>
      <c r="C1184" s="31" t="s">
        <v>1952</v>
      </c>
      <c r="D1184" s="32"/>
      <c r="E1184" s="32"/>
      <c r="F1184" s="32"/>
      <c r="G1184" s="33"/>
      <c r="H1184" s="4">
        <f>LEN(C1184)</f>
        <v>10</v>
      </c>
      <c r="I1184" s="11">
        <f>MOD(H1184,2)*4+FLOOR(H1184/2,1)*6</f>
        <v>30</v>
      </c>
      <c r="J1184" s="12" t="str">
        <f>IF(J1183&lt;I1182,"有效","无效")</f>
        <v>有效</v>
      </c>
      <c r="K1184" s="20"/>
      <c r="L1184" s="6" t="str">
        <f>IF(R1184&lt;=12,"有效","无效")</f>
        <v>有效</v>
      </c>
      <c r="M1184" s="31" t="s">
        <v>1956</v>
      </c>
      <c r="N1184" s="32"/>
      <c r="O1184" s="32"/>
      <c r="P1184" s="32"/>
      <c r="Q1184" s="33"/>
      <c r="R1184" s="10">
        <f>LEN(M1184)</f>
        <v>5</v>
      </c>
      <c r="S1184" s="10">
        <f>MOD(R1184,2)*4+FLOOR(R1184/2,1)*6</f>
        <v>16</v>
      </c>
      <c r="T1184" s="12" t="str">
        <f>IF(T1183&lt;I1182,"有效","无效")</f>
        <v>有效</v>
      </c>
    </row>
    <row r="1185" spans="1:20" ht="20" customHeight="1">
      <c r="A1185" s="22"/>
      <c r="B1185" s="6" t="str">
        <f>IF(H1185&lt;=12,"有效","无效")</f>
        <v>有效</v>
      </c>
      <c r="C1185" s="31" t="s">
        <v>1953</v>
      </c>
      <c r="D1185" s="32"/>
      <c r="E1185" s="32"/>
      <c r="F1185" s="32"/>
      <c r="G1185" s="33"/>
      <c r="H1185" s="4">
        <f>LEN(C1185)</f>
        <v>4</v>
      </c>
      <c r="I1185" s="11">
        <f>MOD(H1185,2)*4+FLOOR(H1185/2,1)*6</f>
        <v>12</v>
      </c>
      <c r="J1185" s="12">
        <f>I1185+I1186</f>
        <v>36</v>
      </c>
      <c r="K1185" s="20"/>
      <c r="L1185" s="6" t="str">
        <f>IF(R1185&lt;=12,"有效","无效")</f>
        <v>有效</v>
      </c>
      <c r="M1185" s="31" t="s">
        <v>1957</v>
      </c>
      <c r="N1185" s="32"/>
      <c r="O1185" s="32"/>
      <c r="P1185" s="32"/>
      <c r="Q1185" s="33"/>
      <c r="R1185" s="10">
        <f>LEN(M1185)</f>
        <v>10</v>
      </c>
      <c r="S1185" s="10">
        <f>MOD(R1185,2)*4+FLOOR(R1185/2,1)*6</f>
        <v>30</v>
      </c>
      <c r="T1185" s="12">
        <f>S1185+S1186</f>
        <v>58</v>
      </c>
    </row>
    <row r="1186" spans="1:20" ht="20" customHeight="1">
      <c r="A1186" s="22"/>
      <c r="B1186" s="6" t="str">
        <f>IF(H1186&lt;=12,"有效","无效")</f>
        <v>有效</v>
      </c>
      <c r="C1186" s="31" t="s">
        <v>1954</v>
      </c>
      <c r="D1186" s="32"/>
      <c r="E1186" s="32"/>
      <c r="F1186" s="32"/>
      <c r="G1186" s="33"/>
      <c r="H1186" s="4">
        <f>LEN(C1186)</f>
        <v>8</v>
      </c>
      <c r="I1186" s="11">
        <f>MOD(H1186,2)*4+FLOOR(H1186/2,1)*6</f>
        <v>24</v>
      </c>
      <c r="J1186" s="12" t="str">
        <f>IF(J1185&lt;I1182,"有效","无效")</f>
        <v>有效</v>
      </c>
      <c r="K1186" s="20"/>
      <c r="L1186" s="6" t="str">
        <f>IF(R1186&lt;=12,"有效","无效")</f>
        <v>有效</v>
      </c>
      <c r="M1186" s="31" t="s">
        <v>1958</v>
      </c>
      <c r="N1186" s="32"/>
      <c r="O1186" s="32"/>
      <c r="P1186" s="32"/>
      <c r="Q1186" s="33"/>
      <c r="R1186" s="10">
        <f>LEN(M1186)</f>
        <v>9</v>
      </c>
      <c r="S1186" s="10">
        <f>MOD(R1186,2)*4+FLOOR(R1186/2,1)*6</f>
        <v>28</v>
      </c>
      <c r="T1186" s="12" t="str">
        <f>IF(T1185&lt;I1182,"有效","无效")</f>
        <v>有效</v>
      </c>
    </row>
    <row r="1187" spans="1:20" ht="20" customHeight="1">
      <c r="A1187" s="22">
        <v>238</v>
      </c>
      <c r="B1187" s="23" t="s">
        <v>389</v>
      </c>
      <c r="C1187" s="24" t="s">
        <v>390</v>
      </c>
      <c r="D1187" s="14">
        <f>LEN($B1187)</f>
        <v>3</v>
      </c>
      <c r="E1187" s="14">
        <f>LEN(C1187)+3</f>
        <v>5</v>
      </c>
      <c r="F1187" s="14">
        <f>MOD(D1187,2)*4+FLOOR(D1187/2,1)*6</f>
        <v>10</v>
      </c>
      <c r="G1187" s="14">
        <f>MOD(E1187,2)*4+FLOOR(E1187/2,1)*6</f>
        <v>16</v>
      </c>
      <c r="H1187" s="14">
        <v>12</v>
      </c>
      <c r="I1187" s="14">
        <f>108-H1187-G1187-F1187</f>
        <v>70</v>
      </c>
    </row>
    <row r="1188" spans="1:20" ht="20" customHeight="1">
      <c r="A1188" s="22"/>
      <c r="B1188" s="6" t="str">
        <f>IF(H1188&lt;=12,"有效","无效")</f>
        <v>有效</v>
      </c>
      <c r="C1188" s="31" t="s">
        <v>1959</v>
      </c>
      <c r="D1188" s="32"/>
      <c r="E1188" s="32"/>
      <c r="F1188" s="32"/>
      <c r="G1188" s="33"/>
      <c r="H1188" s="4">
        <f>LEN(C1188)</f>
        <v>7</v>
      </c>
      <c r="I1188" s="11">
        <f>MOD(H1188,2)*4+FLOOR(H1188/2,1)*6</f>
        <v>22</v>
      </c>
      <c r="J1188" s="12">
        <f>I1188+I1189</f>
        <v>38</v>
      </c>
      <c r="K1188" s="20"/>
      <c r="L1188" s="13" t="str">
        <f>IF(R1188&lt;=12,"有效","无效")</f>
        <v>有效</v>
      </c>
      <c r="M1188" s="35" t="s">
        <v>1963</v>
      </c>
      <c r="N1188" s="35"/>
      <c r="O1188" s="35"/>
      <c r="P1188" s="35"/>
      <c r="Q1188" s="36"/>
      <c r="R1188" s="10">
        <f>LEN(M1188)</f>
        <v>8</v>
      </c>
      <c r="S1188" s="10">
        <f>MOD(R1188,2)*4+FLOOR(R1188/2,1)*6</f>
        <v>24</v>
      </c>
      <c r="T1188" s="12">
        <f>S1188+S1189</f>
        <v>48</v>
      </c>
    </row>
    <row r="1189" spans="1:20" ht="20" customHeight="1">
      <c r="A1189" s="22"/>
      <c r="B1189" s="6" t="str">
        <f>IF(H1189&lt;=12,"有效","无效")</f>
        <v>有效</v>
      </c>
      <c r="C1189" s="31" t="s">
        <v>1960</v>
      </c>
      <c r="D1189" s="32"/>
      <c r="E1189" s="32"/>
      <c r="F1189" s="32"/>
      <c r="G1189" s="33"/>
      <c r="H1189" s="4">
        <f>LEN(C1189)</f>
        <v>5</v>
      </c>
      <c r="I1189" s="11">
        <f>MOD(H1189,2)*4+FLOOR(H1189/2,1)*6</f>
        <v>16</v>
      </c>
      <c r="J1189" s="12" t="str">
        <f>IF(J1188&lt;I1187,"有效","无效")</f>
        <v>有效</v>
      </c>
      <c r="K1189" s="20"/>
      <c r="L1189" s="6" t="str">
        <f>IF(R1189&lt;=12,"有效","无效")</f>
        <v>有效</v>
      </c>
      <c r="M1189" s="34" t="s">
        <v>1964</v>
      </c>
      <c r="N1189" s="35"/>
      <c r="O1189" s="35"/>
      <c r="P1189" s="35"/>
      <c r="Q1189" s="36"/>
      <c r="R1189" s="10">
        <f>LEN(M1189)</f>
        <v>8</v>
      </c>
      <c r="S1189" s="10">
        <f>MOD(R1189,2)*4+FLOOR(R1189/2,1)*6</f>
        <v>24</v>
      </c>
      <c r="T1189" s="12" t="str">
        <f>IF(T1188&lt;I1187,"有效","无效")</f>
        <v>有效</v>
      </c>
    </row>
    <row r="1190" spans="1:20" ht="20" customHeight="1">
      <c r="A1190" s="22"/>
      <c r="B1190" s="6" t="str">
        <f>IF(H1190&lt;=12,"有效","无效")</f>
        <v>有效</v>
      </c>
      <c r="C1190" s="31" t="s">
        <v>1961</v>
      </c>
      <c r="D1190" s="32"/>
      <c r="E1190" s="32"/>
      <c r="F1190" s="32"/>
      <c r="G1190" s="33"/>
      <c r="H1190" s="4">
        <f>LEN(C1190)</f>
        <v>6</v>
      </c>
      <c r="I1190" s="11">
        <f>MOD(H1190,2)*4+FLOOR(H1190/2,1)*6</f>
        <v>18</v>
      </c>
      <c r="J1190" s="12">
        <f>I1190+I1191</f>
        <v>36</v>
      </c>
      <c r="K1190" s="20"/>
      <c r="L1190" s="6" t="str">
        <f>IF(R1190&lt;=12,"有效","无效")</f>
        <v>有效</v>
      </c>
      <c r="M1190" s="34" t="s">
        <v>1965</v>
      </c>
      <c r="N1190" s="35"/>
      <c r="O1190" s="35"/>
      <c r="P1190" s="35"/>
      <c r="Q1190" s="36"/>
      <c r="R1190" s="10">
        <f>LEN(M1190)</f>
        <v>6</v>
      </c>
      <c r="S1190" s="10">
        <f>MOD(R1190,2)*4+FLOOR(R1190/2,1)*6</f>
        <v>18</v>
      </c>
      <c r="T1190" s="12">
        <f>S1190+S1191</f>
        <v>34</v>
      </c>
    </row>
    <row r="1191" spans="1:20" ht="20" customHeight="1">
      <c r="A1191" s="22"/>
      <c r="B1191" s="6" t="str">
        <f>IF(H1191&lt;=12,"有效","无效")</f>
        <v>有效</v>
      </c>
      <c r="C1191" s="31" t="s">
        <v>1962</v>
      </c>
      <c r="D1191" s="32"/>
      <c r="E1191" s="32"/>
      <c r="F1191" s="32"/>
      <c r="G1191" s="33"/>
      <c r="H1191" s="4">
        <f>LEN(C1191)</f>
        <v>6</v>
      </c>
      <c r="I1191" s="11">
        <f>MOD(H1191,2)*4+FLOOR(H1191/2,1)*6</f>
        <v>18</v>
      </c>
      <c r="J1191" s="12" t="str">
        <f>IF(J1190&lt;I1187,"有效","无效")</f>
        <v>有效</v>
      </c>
      <c r="K1191" s="20"/>
      <c r="L1191" s="6" t="str">
        <f>IF(R1191&lt;=12,"有效","无效")</f>
        <v>有效</v>
      </c>
      <c r="M1191" s="34" t="s">
        <v>1966</v>
      </c>
      <c r="N1191" s="35"/>
      <c r="O1191" s="35"/>
      <c r="P1191" s="35"/>
      <c r="Q1191" s="36"/>
      <c r="R1191" s="10">
        <f>LEN(M1191)</f>
        <v>5</v>
      </c>
      <c r="S1191" s="10">
        <f>MOD(R1191,2)*4+FLOOR(R1191/2,1)*6</f>
        <v>16</v>
      </c>
      <c r="T1191" s="12" t="str">
        <f>IF(T1190&lt;I1187,"有效","无效")</f>
        <v>有效</v>
      </c>
    </row>
    <row r="1192" spans="1:20" ht="20" customHeight="1">
      <c r="A1192" s="22">
        <v>239</v>
      </c>
      <c r="B1192" s="23" t="s">
        <v>391</v>
      </c>
      <c r="C1192" s="24" t="s">
        <v>392</v>
      </c>
      <c r="D1192" s="14">
        <f>LEN($B1192)</f>
        <v>3</v>
      </c>
      <c r="E1192" s="14">
        <f>LEN(C1192)+3</f>
        <v>5</v>
      </c>
      <c r="F1192" s="14">
        <f>MOD(D1192,2)*4+FLOOR(D1192/2,1)*6</f>
        <v>10</v>
      </c>
      <c r="G1192" s="14">
        <f>MOD(E1192,2)*4+FLOOR(E1192/2,1)*6</f>
        <v>16</v>
      </c>
      <c r="H1192" s="14">
        <v>12</v>
      </c>
      <c r="I1192" s="14">
        <f>108-H1192-G1192-F1192</f>
        <v>70</v>
      </c>
    </row>
    <row r="1193" spans="1:20" ht="20" customHeight="1">
      <c r="A1193" s="22"/>
      <c r="B1193" s="6" t="str">
        <f>IF(H1193&lt;=12,"有效","无效")</f>
        <v>有效</v>
      </c>
      <c r="C1193" s="31" t="s">
        <v>1967</v>
      </c>
      <c r="D1193" s="32"/>
      <c r="E1193" s="32"/>
      <c r="F1193" s="32"/>
      <c r="G1193" s="33"/>
      <c r="H1193" s="4">
        <f>LEN(C1193)</f>
        <v>6</v>
      </c>
      <c r="I1193" s="11">
        <f>MOD(H1193,2)*4+FLOOR(H1193/2,1)*6</f>
        <v>18</v>
      </c>
      <c r="J1193" s="12">
        <f>I1193+I1194</f>
        <v>40</v>
      </c>
      <c r="K1193" s="20"/>
      <c r="L1193" s="13" t="str">
        <f>IF(R1193&lt;=12,"有效","无效")</f>
        <v>有效</v>
      </c>
      <c r="M1193" s="35" t="s">
        <v>1971</v>
      </c>
      <c r="N1193" s="35"/>
      <c r="O1193" s="35"/>
      <c r="P1193" s="35"/>
      <c r="Q1193" s="36"/>
      <c r="R1193" s="10">
        <f>LEN(M1193)</f>
        <v>11</v>
      </c>
      <c r="S1193" s="10">
        <f>MOD(R1193,2)*4+FLOOR(R1193/2,1)*6</f>
        <v>34</v>
      </c>
      <c r="T1193" s="12">
        <f>S1193+S1194</f>
        <v>52</v>
      </c>
    </row>
    <row r="1194" spans="1:20" ht="20" customHeight="1">
      <c r="A1194" s="22"/>
      <c r="B1194" s="6" t="str">
        <f>IF(H1194&lt;=12,"有效","无效")</f>
        <v>有效</v>
      </c>
      <c r="C1194" s="31" t="s">
        <v>1968</v>
      </c>
      <c r="D1194" s="32"/>
      <c r="E1194" s="32"/>
      <c r="F1194" s="32"/>
      <c r="G1194" s="33"/>
      <c r="H1194" s="4">
        <f>LEN(C1194)</f>
        <v>7</v>
      </c>
      <c r="I1194" s="11">
        <f>MOD(H1194,2)*4+FLOOR(H1194/2,1)*6</f>
        <v>22</v>
      </c>
      <c r="J1194" s="12" t="str">
        <f>IF(J1193&lt;I1192,"有效","无效")</f>
        <v>有效</v>
      </c>
      <c r="K1194" s="20"/>
      <c r="L1194" s="6" t="str">
        <f>IF(R1194&lt;=12,"有效","无效")</f>
        <v>有效</v>
      </c>
      <c r="M1194" s="34" t="s">
        <v>1972</v>
      </c>
      <c r="N1194" s="35"/>
      <c r="O1194" s="35"/>
      <c r="P1194" s="35"/>
      <c r="Q1194" s="36"/>
      <c r="R1194" s="10">
        <f>LEN(M1194)</f>
        <v>6</v>
      </c>
      <c r="S1194" s="10">
        <f>MOD(R1194,2)*4+FLOOR(R1194/2,1)*6</f>
        <v>18</v>
      </c>
      <c r="T1194" s="12" t="str">
        <f>IF(T1193&lt;I1192,"有效","无效")</f>
        <v>有效</v>
      </c>
    </row>
    <row r="1195" spans="1:20" ht="20" customHeight="1">
      <c r="A1195" s="22"/>
      <c r="B1195" s="6" t="str">
        <f>IF(H1195&lt;=12,"有效","无效")</f>
        <v>有效</v>
      </c>
      <c r="C1195" s="31" t="s">
        <v>1969</v>
      </c>
      <c r="D1195" s="32"/>
      <c r="E1195" s="32"/>
      <c r="F1195" s="32"/>
      <c r="G1195" s="33"/>
      <c r="H1195" s="4">
        <f>LEN(C1195)</f>
        <v>10</v>
      </c>
      <c r="I1195" s="11">
        <f>MOD(H1195,2)*4+FLOOR(H1195/2,1)*6</f>
        <v>30</v>
      </c>
      <c r="J1195" s="12">
        <f>I1195+I1196</f>
        <v>64</v>
      </c>
      <c r="K1195" s="20"/>
      <c r="L1195" s="6" t="str">
        <f>IF(R1195&lt;=12,"有效","无效")</f>
        <v>有效</v>
      </c>
      <c r="M1195" s="34" t="s">
        <v>1973</v>
      </c>
      <c r="N1195" s="35"/>
      <c r="O1195" s="35"/>
      <c r="P1195" s="35"/>
      <c r="Q1195" s="36"/>
      <c r="R1195" s="10">
        <f>LEN(M1195)</f>
        <v>5</v>
      </c>
      <c r="S1195" s="10">
        <f>MOD(R1195,2)*4+FLOOR(R1195/2,1)*6</f>
        <v>16</v>
      </c>
      <c r="T1195" s="12">
        <f>S1195+S1196</f>
        <v>32</v>
      </c>
    </row>
    <row r="1196" spans="1:20" ht="20" customHeight="1">
      <c r="A1196" s="22"/>
      <c r="B1196" s="6" t="str">
        <f>IF(H1196&lt;=12,"有效","无效")</f>
        <v>有效</v>
      </c>
      <c r="C1196" s="31" t="s">
        <v>1970</v>
      </c>
      <c r="D1196" s="32"/>
      <c r="E1196" s="32"/>
      <c r="F1196" s="32"/>
      <c r="G1196" s="33"/>
      <c r="H1196" s="4">
        <f>LEN(C1196)</f>
        <v>11</v>
      </c>
      <c r="I1196" s="11">
        <f>MOD(H1196,2)*4+FLOOR(H1196/2,1)*6</f>
        <v>34</v>
      </c>
      <c r="J1196" s="12" t="str">
        <f>IF(J1195&lt;I1192,"有效","无效")</f>
        <v>有效</v>
      </c>
      <c r="K1196" s="20"/>
      <c r="L1196" s="6" t="str">
        <f>IF(R1196&lt;=12,"有效","无效")</f>
        <v>有效</v>
      </c>
      <c r="M1196" s="34" t="s">
        <v>1974</v>
      </c>
      <c r="N1196" s="35"/>
      <c r="O1196" s="35"/>
      <c r="P1196" s="35"/>
      <c r="Q1196" s="36"/>
      <c r="R1196" s="10">
        <f>LEN(M1196)</f>
        <v>5</v>
      </c>
      <c r="S1196" s="10">
        <f>MOD(R1196,2)*4+FLOOR(R1196/2,1)*6</f>
        <v>16</v>
      </c>
      <c r="T1196" s="12" t="str">
        <f>IF(T1195&lt;I1192,"有效","无效")</f>
        <v>有效</v>
      </c>
    </row>
    <row r="1197" spans="1:20" ht="20" customHeight="1">
      <c r="A1197" s="22">
        <v>240</v>
      </c>
      <c r="B1197" s="23" t="s">
        <v>393</v>
      </c>
      <c r="C1197" s="24" t="s">
        <v>394</v>
      </c>
      <c r="D1197" s="14">
        <f>LEN($B1197)</f>
        <v>4</v>
      </c>
      <c r="E1197" s="14">
        <f>LEN(C1197)+3</f>
        <v>5</v>
      </c>
      <c r="F1197" s="14">
        <f>MOD(D1197,2)*4+FLOOR(D1197/2,1)*6</f>
        <v>12</v>
      </c>
      <c r="G1197" s="14">
        <f>MOD(E1197,2)*4+FLOOR(E1197/2,1)*6</f>
        <v>16</v>
      </c>
      <c r="H1197" s="14">
        <v>12</v>
      </c>
      <c r="I1197" s="14">
        <f>108-H1197-G1197-F1197</f>
        <v>68</v>
      </c>
    </row>
    <row r="1198" spans="1:20" ht="20" customHeight="1">
      <c r="A1198" s="22"/>
      <c r="B1198" s="6" t="str">
        <f>IF(H1198&lt;=12,"有效","无效")</f>
        <v>有效</v>
      </c>
      <c r="C1198" s="31" t="s">
        <v>1975</v>
      </c>
      <c r="D1198" s="32"/>
      <c r="E1198" s="32"/>
      <c r="F1198" s="32"/>
      <c r="G1198" s="33"/>
      <c r="H1198" s="4">
        <f>LEN(C1198)</f>
        <v>5</v>
      </c>
      <c r="I1198" s="11">
        <f>MOD(H1198,2)*4+FLOOR(H1198/2,1)*6</f>
        <v>16</v>
      </c>
      <c r="J1198" s="12">
        <f>I1198+I1199</f>
        <v>34</v>
      </c>
      <c r="K1198" s="20"/>
      <c r="L1198" s="13" t="str">
        <f>IF(R1198&lt;=12,"有效","无效")</f>
        <v>有效</v>
      </c>
      <c r="M1198" s="35" t="s">
        <v>1979</v>
      </c>
      <c r="N1198" s="35"/>
      <c r="O1198" s="35"/>
      <c r="P1198" s="35"/>
      <c r="Q1198" s="36"/>
      <c r="R1198" s="10">
        <f>LEN(M1198)</f>
        <v>11</v>
      </c>
      <c r="S1198" s="10">
        <f>MOD(R1198,2)*4+FLOOR(R1198/2,1)*6</f>
        <v>34</v>
      </c>
      <c r="T1198" s="12">
        <f>S1198+S1199</f>
        <v>64</v>
      </c>
    </row>
    <row r="1199" spans="1:20" ht="20" customHeight="1">
      <c r="A1199" s="22"/>
      <c r="B1199" s="6" t="str">
        <f>IF(H1199&lt;=12,"有效","无效")</f>
        <v>有效</v>
      </c>
      <c r="C1199" s="31" t="s">
        <v>1976</v>
      </c>
      <c r="D1199" s="32"/>
      <c r="E1199" s="32"/>
      <c r="F1199" s="32"/>
      <c r="G1199" s="33"/>
      <c r="H1199" s="4">
        <f>LEN(C1199)</f>
        <v>6</v>
      </c>
      <c r="I1199" s="11">
        <f>MOD(H1199,2)*4+FLOOR(H1199/2,1)*6</f>
        <v>18</v>
      </c>
      <c r="J1199" s="12" t="str">
        <f>IF(J1198&lt;I1197,"有效","无效")</f>
        <v>有效</v>
      </c>
      <c r="K1199" s="20"/>
      <c r="L1199" s="6" t="str">
        <f>IF(R1199&lt;=12,"有效","无效")</f>
        <v>有效</v>
      </c>
      <c r="M1199" s="34" t="s">
        <v>1980</v>
      </c>
      <c r="N1199" s="35"/>
      <c r="O1199" s="35"/>
      <c r="P1199" s="35"/>
      <c r="Q1199" s="36"/>
      <c r="R1199" s="10">
        <f>LEN(M1199)</f>
        <v>10</v>
      </c>
      <c r="S1199" s="10">
        <f>MOD(R1199,2)*4+FLOOR(R1199/2,1)*6</f>
        <v>30</v>
      </c>
      <c r="T1199" s="12" t="str">
        <f>IF(T1198&lt;I1197,"有效","无效")</f>
        <v>有效</v>
      </c>
    </row>
    <row r="1200" spans="1:20" ht="20" customHeight="1">
      <c r="A1200" s="22"/>
      <c r="B1200" s="6" t="str">
        <f>IF(H1200&lt;=12,"有效","无效")</f>
        <v>有效</v>
      </c>
      <c r="C1200" s="31" t="s">
        <v>1977</v>
      </c>
      <c r="D1200" s="32"/>
      <c r="E1200" s="32"/>
      <c r="F1200" s="32"/>
      <c r="G1200" s="33"/>
      <c r="H1200" s="4">
        <f>LEN(C1200)</f>
        <v>6</v>
      </c>
      <c r="I1200" s="11">
        <f>MOD(H1200,2)*4+FLOOR(H1200/2,1)*6</f>
        <v>18</v>
      </c>
      <c r="J1200" s="12">
        <f>I1200+I1201</f>
        <v>42</v>
      </c>
      <c r="K1200" s="20"/>
      <c r="L1200" s="6" t="str">
        <f>IF(R1200&lt;=12,"有效","无效")</f>
        <v>有效</v>
      </c>
      <c r="M1200" s="34" t="s">
        <v>1981</v>
      </c>
      <c r="N1200" s="35"/>
      <c r="O1200" s="35"/>
      <c r="P1200" s="35"/>
      <c r="Q1200" s="36"/>
      <c r="R1200" s="10">
        <f>LEN(M1200)</f>
        <v>7</v>
      </c>
      <c r="S1200" s="10">
        <f>MOD(R1200,2)*4+FLOOR(R1200/2,1)*6</f>
        <v>22</v>
      </c>
      <c r="T1200" s="12">
        <f>S1200+S1201</f>
        <v>40</v>
      </c>
    </row>
    <row r="1201" spans="1:20" ht="20" customHeight="1">
      <c r="A1201" s="22"/>
      <c r="B1201" s="6" t="str">
        <f>IF(H1201&lt;=12,"有效","无效")</f>
        <v>有效</v>
      </c>
      <c r="C1201" s="31" t="s">
        <v>1978</v>
      </c>
      <c r="D1201" s="32"/>
      <c r="E1201" s="32"/>
      <c r="F1201" s="32"/>
      <c r="G1201" s="33"/>
      <c r="H1201" s="4">
        <f>LEN(C1201)</f>
        <v>8</v>
      </c>
      <c r="I1201" s="11">
        <f>MOD(H1201,2)*4+FLOOR(H1201/2,1)*6</f>
        <v>24</v>
      </c>
      <c r="J1201" s="12" t="str">
        <f>IF(J1200&lt;I1197,"有效","无效")</f>
        <v>有效</v>
      </c>
      <c r="K1201" s="20"/>
      <c r="L1201" s="6" t="str">
        <f>IF(R1201&lt;=12,"有效","无效")</f>
        <v>有效</v>
      </c>
      <c r="M1201" s="34" t="s">
        <v>1982</v>
      </c>
      <c r="N1201" s="35"/>
      <c r="O1201" s="35"/>
      <c r="P1201" s="35"/>
      <c r="Q1201" s="36"/>
      <c r="R1201" s="10">
        <f>LEN(M1201)</f>
        <v>6</v>
      </c>
      <c r="S1201" s="10">
        <f>MOD(R1201,2)*4+FLOOR(R1201/2,1)*6</f>
        <v>18</v>
      </c>
      <c r="T1201" s="12" t="str">
        <f>IF(T1200&lt;I1197,"有效","无效")</f>
        <v>有效</v>
      </c>
    </row>
    <row r="1202" spans="1:20" ht="20" customHeight="1">
      <c r="A1202" s="22">
        <v>241</v>
      </c>
      <c r="B1202" s="23" t="s">
        <v>395</v>
      </c>
      <c r="C1202" s="24" t="s">
        <v>396</v>
      </c>
      <c r="D1202" s="14">
        <f>LEN($B1202)</f>
        <v>3</v>
      </c>
      <c r="E1202" s="14">
        <f>LEN(C1202)+3</f>
        <v>5</v>
      </c>
      <c r="F1202" s="14">
        <f>MOD(D1202,2)*4+FLOOR(D1202/2,1)*6</f>
        <v>10</v>
      </c>
      <c r="G1202" s="14">
        <f>MOD(E1202,2)*4+FLOOR(E1202/2,1)*6</f>
        <v>16</v>
      </c>
      <c r="H1202" s="14">
        <v>12</v>
      </c>
      <c r="I1202" s="14">
        <f>108-H1202-G1202-F1202</f>
        <v>70</v>
      </c>
    </row>
    <row r="1203" spans="1:20" ht="20" customHeight="1">
      <c r="A1203" s="22"/>
      <c r="B1203" s="6" t="str">
        <f>IF(H1203&lt;=12,"有效","无效")</f>
        <v>有效</v>
      </c>
      <c r="C1203" s="31" t="s">
        <v>1983</v>
      </c>
      <c r="D1203" s="32"/>
      <c r="E1203" s="32"/>
      <c r="F1203" s="32"/>
      <c r="G1203" s="33"/>
      <c r="H1203" s="4">
        <f>LEN(C1203)</f>
        <v>4</v>
      </c>
      <c r="I1203" s="11">
        <f>MOD(H1203,2)*4+FLOOR(H1203/2,1)*6</f>
        <v>12</v>
      </c>
      <c r="J1203" s="12">
        <f>I1203+I1204</f>
        <v>28</v>
      </c>
      <c r="K1203" s="20"/>
      <c r="L1203" s="13" t="str">
        <f>IF(R1203&lt;=12,"有效","无效")</f>
        <v>有效</v>
      </c>
      <c r="M1203" s="32" t="s">
        <v>1987</v>
      </c>
      <c r="N1203" s="32"/>
      <c r="O1203" s="32"/>
      <c r="P1203" s="32"/>
      <c r="Q1203" s="33"/>
      <c r="R1203" s="10">
        <f>LEN(M1203)</f>
        <v>4</v>
      </c>
      <c r="S1203" s="10">
        <f>MOD(R1203,2)*4+FLOOR(R1203/2,1)*6</f>
        <v>12</v>
      </c>
      <c r="T1203" s="12">
        <f>S1203+S1204</f>
        <v>36</v>
      </c>
    </row>
    <row r="1204" spans="1:20" ht="20" customHeight="1">
      <c r="A1204" s="22"/>
      <c r="B1204" s="6" t="str">
        <f>IF(H1204&lt;=12,"有效","无效")</f>
        <v>有效</v>
      </c>
      <c r="C1204" s="31" t="s">
        <v>1984</v>
      </c>
      <c r="D1204" s="32"/>
      <c r="E1204" s="32"/>
      <c r="F1204" s="32"/>
      <c r="G1204" s="33"/>
      <c r="H1204" s="4">
        <f>LEN(C1204)</f>
        <v>5</v>
      </c>
      <c r="I1204" s="11">
        <f>MOD(H1204,2)*4+FLOOR(H1204/2,1)*6</f>
        <v>16</v>
      </c>
      <c r="J1204" s="12" t="str">
        <f>IF(J1203&lt;I1202,"有效","无效")</f>
        <v>有效</v>
      </c>
      <c r="K1204" s="20"/>
      <c r="L1204" s="6" t="str">
        <f>IF(R1204&lt;=12,"有效","无效")</f>
        <v>有效</v>
      </c>
      <c r="M1204" s="31" t="s">
        <v>1988</v>
      </c>
      <c r="N1204" s="32"/>
      <c r="O1204" s="32"/>
      <c r="P1204" s="32"/>
      <c r="Q1204" s="33"/>
      <c r="R1204" s="10">
        <f>LEN(M1204)</f>
        <v>8</v>
      </c>
      <c r="S1204" s="10">
        <f>MOD(R1204,2)*4+FLOOR(R1204/2,1)*6</f>
        <v>24</v>
      </c>
      <c r="T1204" s="12" t="str">
        <f>IF(T1203&lt;I1202,"有效","无效")</f>
        <v>有效</v>
      </c>
    </row>
    <row r="1205" spans="1:20" ht="20" customHeight="1">
      <c r="A1205" s="22"/>
      <c r="B1205" s="6" t="str">
        <f>IF(H1205&lt;=12,"有效","无效")</f>
        <v>有效</v>
      </c>
      <c r="C1205" s="31" t="s">
        <v>1985</v>
      </c>
      <c r="D1205" s="32"/>
      <c r="E1205" s="32"/>
      <c r="F1205" s="32"/>
      <c r="G1205" s="33"/>
      <c r="H1205" s="4">
        <f>LEN(C1205)</f>
        <v>9</v>
      </c>
      <c r="I1205" s="11">
        <f>MOD(H1205,2)*4+FLOOR(H1205/2,1)*6</f>
        <v>28</v>
      </c>
      <c r="J1205" s="12">
        <f>I1205+I1206</f>
        <v>52</v>
      </c>
      <c r="K1205" s="20"/>
      <c r="L1205" s="6" t="str">
        <f>IF(R1205&lt;=12,"有效","无效")</f>
        <v>有效</v>
      </c>
      <c r="M1205" s="31" t="s">
        <v>1989</v>
      </c>
      <c r="N1205" s="32"/>
      <c r="O1205" s="32"/>
      <c r="P1205" s="32"/>
      <c r="Q1205" s="33"/>
      <c r="R1205" s="10">
        <f>LEN(M1205)</f>
        <v>6</v>
      </c>
      <c r="S1205" s="10">
        <f>MOD(R1205,2)*4+FLOOR(R1205/2,1)*6</f>
        <v>18</v>
      </c>
      <c r="T1205" s="12">
        <f>S1205+S1206</f>
        <v>36</v>
      </c>
    </row>
    <row r="1206" spans="1:20" ht="20" customHeight="1">
      <c r="A1206" s="22"/>
      <c r="B1206" s="6" t="str">
        <f>IF(H1206&lt;=12,"有效","无效")</f>
        <v>有效</v>
      </c>
      <c r="C1206" s="31" t="s">
        <v>1986</v>
      </c>
      <c r="D1206" s="32"/>
      <c r="E1206" s="32"/>
      <c r="F1206" s="32"/>
      <c r="G1206" s="33"/>
      <c r="H1206" s="4">
        <f>LEN(C1206)</f>
        <v>8</v>
      </c>
      <c r="I1206" s="11">
        <f>MOD(H1206,2)*4+FLOOR(H1206/2,1)*6</f>
        <v>24</v>
      </c>
      <c r="J1206" s="12" t="str">
        <f>IF(J1205&lt;I1202,"有效","无效")</f>
        <v>有效</v>
      </c>
      <c r="K1206" s="20"/>
      <c r="L1206" s="6" t="str">
        <f>IF(R1206&lt;=12,"有效","无效")</f>
        <v>有效</v>
      </c>
      <c r="M1206" s="31" t="s">
        <v>1990</v>
      </c>
      <c r="N1206" s="32"/>
      <c r="O1206" s="32"/>
      <c r="P1206" s="32"/>
      <c r="Q1206" s="33"/>
      <c r="R1206" s="10">
        <f>LEN(M1206)</f>
        <v>6</v>
      </c>
      <c r="S1206" s="10">
        <f>MOD(R1206,2)*4+FLOOR(R1206/2,1)*6</f>
        <v>18</v>
      </c>
      <c r="T1206" s="12" t="str">
        <f>IF(T1205&lt;I1202,"有效","无效")</f>
        <v>有效</v>
      </c>
    </row>
    <row r="1207" spans="1:20" ht="20" customHeight="1">
      <c r="A1207" s="22">
        <v>242</v>
      </c>
      <c r="B1207" s="23" t="s">
        <v>397</v>
      </c>
      <c r="C1207" s="24" t="s">
        <v>286</v>
      </c>
      <c r="D1207" s="14">
        <f>LEN($B1207)</f>
        <v>3</v>
      </c>
      <c r="E1207" s="14">
        <f>LEN(C1207)+3</f>
        <v>5</v>
      </c>
      <c r="F1207" s="14">
        <f>MOD(D1207,2)*4+FLOOR(D1207/2,1)*6</f>
        <v>10</v>
      </c>
      <c r="G1207" s="14">
        <f>MOD(E1207,2)*4+FLOOR(E1207/2,1)*6</f>
        <v>16</v>
      </c>
      <c r="H1207" s="14">
        <v>12</v>
      </c>
      <c r="I1207" s="14">
        <f>108-H1207-G1207-F1207</f>
        <v>70</v>
      </c>
    </row>
    <row r="1208" spans="1:20" ht="20" customHeight="1">
      <c r="A1208" s="22"/>
      <c r="B1208" s="6" t="str">
        <f>IF(H1208&lt;=12,"有效","无效")</f>
        <v>有效</v>
      </c>
      <c r="C1208" s="31" t="s">
        <v>1991</v>
      </c>
      <c r="D1208" s="32"/>
      <c r="E1208" s="32"/>
      <c r="F1208" s="32"/>
      <c r="G1208" s="33"/>
      <c r="H1208" s="4">
        <f>LEN(C1208)</f>
        <v>4</v>
      </c>
      <c r="I1208" s="11">
        <f>MOD(H1208,2)*4+FLOOR(H1208/2,1)*6</f>
        <v>12</v>
      </c>
      <c r="J1208" s="12">
        <f>I1208+I1209</f>
        <v>30</v>
      </c>
      <c r="K1208" s="20"/>
      <c r="L1208" s="13" t="str">
        <f>IF(R1208&lt;=12,"有效","无效")</f>
        <v>有效</v>
      </c>
      <c r="M1208" s="35" t="s">
        <v>1995</v>
      </c>
      <c r="N1208" s="35"/>
      <c r="O1208" s="35"/>
      <c r="P1208" s="35"/>
      <c r="Q1208" s="36"/>
      <c r="R1208" s="10">
        <f>LEN(M1208)</f>
        <v>5</v>
      </c>
      <c r="S1208" s="10">
        <f>MOD(R1208,2)*4+FLOOR(R1208/2,1)*6</f>
        <v>16</v>
      </c>
      <c r="T1208" s="12">
        <f>S1208+S1209</f>
        <v>52</v>
      </c>
    </row>
    <row r="1209" spans="1:20" ht="20" customHeight="1">
      <c r="A1209" s="22"/>
      <c r="B1209" s="6" t="str">
        <f>IF(H1209&lt;=12,"有效","无效")</f>
        <v>有效</v>
      </c>
      <c r="C1209" s="31" t="s">
        <v>1992</v>
      </c>
      <c r="D1209" s="32"/>
      <c r="E1209" s="32"/>
      <c r="F1209" s="32"/>
      <c r="G1209" s="33"/>
      <c r="H1209" s="4">
        <f>LEN(C1209)</f>
        <v>6</v>
      </c>
      <c r="I1209" s="11">
        <f>MOD(H1209,2)*4+FLOOR(H1209/2,1)*6</f>
        <v>18</v>
      </c>
      <c r="J1209" s="12" t="str">
        <f>IF(J1208&lt;I1207,"有效","无效")</f>
        <v>有效</v>
      </c>
      <c r="K1209" s="20"/>
      <c r="L1209" s="6" t="str">
        <f>IF(R1209&lt;=12,"有效","无效")</f>
        <v>有效</v>
      </c>
      <c r="M1209" s="34" t="s">
        <v>1996</v>
      </c>
      <c r="N1209" s="35"/>
      <c r="O1209" s="35"/>
      <c r="P1209" s="35"/>
      <c r="Q1209" s="36"/>
      <c r="R1209" s="10">
        <f>LEN(M1209)</f>
        <v>12</v>
      </c>
      <c r="S1209" s="10">
        <f>MOD(R1209,2)*4+FLOOR(R1209/2,1)*6</f>
        <v>36</v>
      </c>
      <c r="T1209" s="12" t="str">
        <f>IF(T1208&lt;I1207,"有效","无效")</f>
        <v>有效</v>
      </c>
    </row>
    <row r="1210" spans="1:20" ht="20" customHeight="1">
      <c r="A1210" s="22"/>
      <c r="B1210" s="6" t="str">
        <f>IF(H1210&lt;=12,"有效","无效")</f>
        <v>有效</v>
      </c>
      <c r="C1210" s="31" t="s">
        <v>1993</v>
      </c>
      <c r="D1210" s="32"/>
      <c r="E1210" s="32"/>
      <c r="F1210" s="32"/>
      <c r="G1210" s="33"/>
      <c r="H1210" s="4">
        <f>LEN(C1210)</f>
        <v>6</v>
      </c>
      <c r="I1210" s="11">
        <f>MOD(H1210,2)*4+FLOOR(H1210/2,1)*6</f>
        <v>18</v>
      </c>
      <c r="J1210" s="12">
        <f>I1210+I1211</f>
        <v>54</v>
      </c>
      <c r="K1210" s="20"/>
      <c r="L1210" s="6" t="str">
        <f>IF(R1210&lt;=12,"有效","无效")</f>
        <v>有效</v>
      </c>
      <c r="M1210" s="34" t="s">
        <v>1997</v>
      </c>
      <c r="N1210" s="35"/>
      <c r="O1210" s="35"/>
      <c r="P1210" s="35"/>
      <c r="Q1210" s="36"/>
      <c r="R1210" s="10">
        <f>LEN(M1210)</f>
        <v>7</v>
      </c>
      <c r="S1210" s="10">
        <f>MOD(R1210,2)*4+FLOOR(R1210/2,1)*6</f>
        <v>22</v>
      </c>
      <c r="T1210" s="12">
        <f>S1210+S1211</f>
        <v>38</v>
      </c>
    </row>
    <row r="1211" spans="1:20" ht="20" customHeight="1">
      <c r="A1211" s="22"/>
      <c r="B1211" s="6" t="str">
        <f>IF(H1211&lt;=12,"有效","无效")</f>
        <v>有效</v>
      </c>
      <c r="C1211" s="31" t="s">
        <v>1994</v>
      </c>
      <c r="D1211" s="32"/>
      <c r="E1211" s="32"/>
      <c r="F1211" s="32"/>
      <c r="G1211" s="33"/>
      <c r="H1211" s="4">
        <f>LEN(C1211)</f>
        <v>12</v>
      </c>
      <c r="I1211" s="11">
        <f>MOD(H1211,2)*4+FLOOR(H1211/2,1)*6</f>
        <v>36</v>
      </c>
      <c r="J1211" s="12" t="str">
        <f>IF(J1210&lt;I1207,"有效","无效")</f>
        <v>有效</v>
      </c>
      <c r="K1211" s="20"/>
      <c r="L1211" s="6" t="str">
        <f>IF(R1211&lt;=12,"有效","无效")</f>
        <v>有效</v>
      </c>
      <c r="M1211" s="34" t="s">
        <v>1998</v>
      </c>
      <c r="N1211" s="35"/>
      <c r="O1211" s="35"/>
      <c r="P1211" s="35"/>
      <c r="Q1211" s="36"/>
      <c r="R1211" s="10">
        <f>LEN(M1211)</f>
        <v>5</v>
      </c>
      <c r="S1211" s="10">
        <f>MOD(R1211,2)*4+FLOOR(R1211/2,1)*6</f>
        <v>16</v>
      </c>
      <c r="T1211" s="12" t="str">
        <f>IF(T1210&lt;I1207,"有效","无效")</f>
        <v>有效</v>
      </c>
    </row>
    <row r="1212" spans="1:20" ht="20" customHeight="1">
      <c r="A1212" s="22">
        <v>243</v>
      </c>
      <c r="B1212" s="23" t="s">
        <v>398</v>
      </c>
      <c r="C1212" s="24" t="s">
        <v>399</v>
      </c>
      <c r="D1212" s="14">
        <f>LEN($B1212)</f>
        <v>2</v>
      </c>
      <c r="E1212" s="14">
        <f>LEN(C1212)+3</f>
        <v>5</v>
      </c>
      <c r="F1212" s="14">
        <f>MOD(D1212,2)*4+FLOOR(D1212/2,1)*6</f>
        <v>6</v>
      </c>
      <c r="G1212" s="14">
        <f>MOD(E1212,2)*4+FLOOR(E1212/2,1)*6</f>
        <v>16</v>
      </c>
      <c r="H1212" s="14">
        <v>12</v>
      </c>
      <c r="I1212" s="14">
        <f>108-H1212-G1212-F1212</f>
        <v>74</v>
      </c>
    </row>
    <row r="1213" spans="1:20" ht="20" customHeight="1">
      <c r="A1213" s="22"/>
      <c r="B1213" s="6" t="str">
        <f>IF(H1213&lt;=12,"有效","无效")</f>
        <v>有效</v>
      </c>
      <c r="C1213" s="31" t="s">
        <v>1999</v>
      </c>
      <c r="D1213" s="32"/>
      <c r="E1213" s="32"/>
      <c r="F1213" s="32"/>
      <c r="G1213" s="33"/>
      <c r="H1213" s="4">
        <f>LEN(C1213)</f>
        <v>9</v>
      </c>
      <c r="I1213" s="11">
        <f>MOD(H1213,2)*4+FLOOR(H1213/2,1)*6</f>
        <v>28</v>
      </c>
      <c r="J1213" s="12">
        <f>I1213+I1214</f>
        <v>62</v>
      </c>
      <c r="K1213" s="20"/>
      <c r="L1213" s="13" t="str">
        <f>IF(R1213&lt;=12,"有效","无效")</f>
        <v>有效</v>
      </c>
      <c r="M1213" s="35" t="s">
        <v>2004</v>
      </c>
      <c r="N1213" s="35"/>
      <c r="O1213" s="35"/>
      <c r="P1213" s="35"/>
      <c r="Q1213" s="36"/>
      <c r="R1213" s="10">
        <f>LEN(M1213)</f>
        <v>11</v>
      </c>
      <c r="S1213" s="10">
        <f>MOD(R1213,2)*4+FLOOR(R1213/2,1)*6</f>
        <v>34</v>
      </c>
      <c r="T1213" s="12">
        <f>S1213+S1214</f>
        <v>52</v>
      </c>
    </row>
    <row r="1214" spans="1:20" ht="20" customHeight="1">
      <c r="A1214" s="22"/>
      <c r="B1214" s="6" t="str">
        <f>IF(H1214&lt;=12,"有效","无效")</f>
        <v>有效</v>
      </c>
      <c r="C1214" s="31" t="s">
        <v>2001</v>
      </c>
      <c r="D1214" s="32"/>
      <c r="E1214" s="32"/>
      <c r="F1214" s="32"/>
      <c r="G1214" s="33"/>
      <c r="H1214" s="4">
        <f>LEN(C1214)</f>
        <v>11</v>
      </c>
      <c r="I1214" s="11">
        <f>MOD(H1214,2)*4+FLOOR(H1214/2,1)*6</f>
        <v>34</v>
      </c>
      <c r="J1214" s="12" t="str">
        <f>IF(J1213&lt;I1212,"有效","无效")</f>
        <v>有效</v>
      </c>
      <c r="K1214" s="20"/>
      <c r="L1214" s="6" t="str">
        <f>IF(R1214&lt;=12,"有效","无效")</f>
        <v>有效</v>
      </c>
      <c r="M1214" s="34" t="s">
        <v>2005</v>
      </c>
      <c r="N1214" s="35"/>
      <c r="O1214" s="35"/>
      <c r="P1214" s="35"/>
      <c r="Q1214" s="36"/>
      <c r="R1214" s="10">
        <f>LEN(M1214)</f>
        <v>6</v>
      </c>
      <c r="S1214" s="10">
        <f>MOD(R1214,2)*4+FLOOR(R1214/2,1)*6</f>
        <v>18</v>
      </c>
      <c r="T1214" s="12" t="str">
        <f>IF(T1213&lt;I1212,"有效","无效")</f>
        <v>有效</v>
      </c>
    </row>
    <row r="1215" spans="1:20" ht="20" customHeight="1">
      <c r="A1215" s="22"/>
      <c r="B1215" s="6" t="str">
        <f>IF(H1215&lt;=12,"有效","无效")</f>
        <v>有效</v>
      </c>
      <c r="C1215" s="31" t="s">
        <v>2003</v>
      </c>
      <c r="D1215" s="32"/>
      <c r="E1215" s="32"/>
      <c r="F1215" s="32"/>
      <c r="G1215" s="33"/>
      <c r="H1215" s="4">
        <f>LEN(C1215)</f>
        <v>6</v>
      </c>
      <c r="I1215" s="11">
        <f>MOD(H1215,2)*4+FLOOR(H1215/2,1)*6</f>
        <v>18</v>
      </c>
      <c r="J1215" s="12">
        <f>I1215+I1216</f>
        <v>46</v>
      </c>
      <c r="K1215" s="20"/>
      <c r="L1215" s="6" t="str">
        <f>IF(R1215&lt;=12,"有效","无效")</f>
        <v>有效</v>
      </c>
      <c r="M1215" s="34" t="s">
        <v>2006</v>
      </c>
      <c r="N1215" s="35"/>
      <c r="O1215" s="35"/>
      <c r="P1215" s="35"/>
      <c r="Q1215" s="36"/>
      <c r="R1215" s="10">
        <f>LEN(M1215)</f>
        <v>6</v>
      </c>
      <c r="S1215" s="10">
        <f>MOD(R1215,2)*4+FLOOR(R1215/2,1)*6</f>
        <v>18</v>
      </c>
      <c r="T1215" s="12">
        <f>S1215+S1216</f>
        <v>46</v>
      </c>
    </row>
    <row r="1216" spans="1:20" ht="20" customHeight="1">
      <c r="A1216" s="22"/>
      <c r="B1216" s="6" t="str">
        <f>IF(H1216&lt;=12,"有效","无效")</f>
        <v>有效</v>
      </c>
      <c r="C1216" s="31" t="s">
        <v>2002</v>
      </c>
      <c r="D1216" s="32"/>
      <c r="E1216" s="32"/>
      <c r="F1216" s="32"/>
      <c r="G1216" s="33"/>
      <c r="H1216" s="4">
        <f>LEN(C1216)</f>
        <v>9</v>
      </c>
      <c r="I1216" s="11">
        <f>MOD(H1216,2)*4+FLOOR(H1216/2,1)*6</f>
        <v>28</v>
      </c>
      <c r="J1216" s="12" t="str">
        <f>IF(J1215&lt;I1212,"有效","无效")</f>
        <v>有效</v>
      </c>
      <c r="K1216" s="20"/>
      <c r="L1216" s="6" t="str">
        <f>IF(R1216&lt;=12,"有效","无效")</f>
        <v>有效</v>
      </c>
      <c r="M1216" s="34" t="s">
        <v>2007</v>
      </c>
      <c r="N1216" s="35"/>
      <c r="O1216" s="35"/>
      <c r="P1216" s="35"/>
      <c r="Q1216" s="36"/>
      <c r="R1216" s="10">
        <f>LEN(M1216)</f>
        <v>9</v>
      </c>
      <c r="S1216" s="10">
        <f>MOD(R1216,2)*4+FLOOR(R1216/2,1)*6</f>
        <v>28</v>
      </c>
      <c r="T1216" s="12" t="str">
        <f>IF(T1215&lt;I1212,"有效","无效")</f>
        <v>有效</v>
      </c>
    </row>
    <row r="1217" spans="1:20" ht="20" customHeight="1">
      <c r="A1217" s="22">
        <v>244</v>
      </c>
      <c r="B1217" s="23" t="s">
        <v>400</v>
      </c>
      <c r="C1217" s="24" t="s">
        <v>254</v>
      </c>
      <c r="D1217" s="14">
        <f>LEN($B1217)</f>
        <v>2</v>
      </c>
      <c r="E1217" s="14">
        <f>LEN(C1217)+3</f>
        <v>5</v>
      </c>
      <c r="F1217" s="14">
        <f>MOD(D1217,2)*4+FLOOR(D1217/2,1)*6</f>
        <v>6</v>
      </c>
      <c r="G1217" s="14">
        <f>MOD(E1217,2)*4+FLOOR(E1217/2,1)*6</f>
        <v>16</v>
      </c>
      <c r="H1217" s="14">
        <v>12</v>
      </c>
      <c r="I1217" s="14">
        <f>108-H1217-G1217-F1217</f>
        <v>74</v>
      </c>
    </row>
    <row r="1218" spans="1:20" ht="20" customHeight="1">
      <c r="A1218" s="22"/>
      <c r="B1218" s="6" t="str">
        <f>IF(H1218&lt;=12,"有效","无效")</f>
        <v>有效</v>
      </c>
      <c r="C1218" s="34" t="s">
        <v>2008</v>
      </c>
      <c r="D1218" s="35"/>
      <c r="E1218" s="35"/>
      <c r="F1218" s="35"/>
      <c r="G1218" s="36"/>
      <c r="H1218" s="4">
        <f>LEN(C1218)</f>
        <v>10</v>
      </c>
      <c r="I1218" s="11">
        <f>MOD(H1218,2)*4+FLOOR(H1218/2,1)*6</f>
        <v>30</v>
      </c>
      <c r="J1218" s="12">
        <f>I1218+I1219</f>
        <v>60</v>
      </c>
      <c r="K1218" s="20"/>
      <c r="L1218" s="13" t="str">
        <f>IF(R1218&lt;=12,"有效","无效")</f>
        <v>有效</v>
      </c>
      <c r="M1218" s="32" t="s">
        <v>2011</v>
      </c>
      <c r="N1218" s="32"/>
      <c r="O1218" s="32"/>
      <c r="P1218" s="32"/>
      <c r="Q1218" s="33"/>
      <c r="R1218" s="10">
        <f>LEN(M1218)</f>
        <v>11</v>
      </c>
      <c r="S1218" s="10">
        <f>MOD(R1218,2)*4+FLOOR(R1218/2,1)*6</f>
        <v>34</v>
      </c>
      <c r="T1218" s="12">
        <f>S1218+S1219</f>
        <v>52</v>
      </c>
    </row>
    <row r="1219" spans="1:20" ht="20" customHeight="1">
      <c r="A1219" s="22"/>
      <c r="B1219" s="6" t="str">
        <f>IF(H1219&lt;=12,"有效","无效")</f>
        <v>有效</v>
      </c>
      <c r="C1219" s="34" t="s">
        <v>2045</v>
      </c>
      <c r="D1219" s="35"/>
      <c r="E1219" s="35"/>
      <c r="F1219" s="35"/>
      <c r="G1219" s="36"/>
      <c r="H1219" s="4">
        <f>LEN(C1219)</f>
        <v>10</v>
      </c>
      <c r="I1219" s="11">
        <f>MOD(H1219,2)*4+FLOOR(H1219/2,1)*6</f>
        <v>30</v>
      </c>
      <c r="J1219" s="12" t="str">
        <f>IF(J1218&lt;I1217,"有效","无效")</f>
        <v>有效</v>
      </c>
      <c r="K1219" s="20"/>
      <c r="L1219" s="6" t="str">
        <f>IF(R1219&lt;=12,"有效","无效")</f>
        <v>有效</v>
      </c>
      <c r="M1219" s="31" t="s">
        <v>2012</v>
      </c>
      <c r="N1219" s="32"/>
      <c r="O1219" s="32"/>
      <c r="P1219" s="32"/>
      <c r="Q1219" s="33"/>
      <c r="R1219" s="10">
        <f>LEN(M1219)</f>
        <v>6</v>
      </c>
      <c r="S1219" s="10">
        <f>MOD(R1219,2)*4+FLOOR(R1219/2,1)*6</f>
        <v>18</v>
      </c>
      <c r="T1219" s="12" t="str">
        <f>IF(T1218&lt;I1217,"有效","无效")</f>
        <v>有效</v>
      </c>
    </row>
    <row r="1220" spans="1:20" ht="20" customHeight="1">
      <c r="A1220" s="22"/>
      <c r="B1220" s="6" t="str">
        <f>IF(H1220&lt;=12,"有效","无效")</f>
        <v>有效</v>
      </c>
      <c r="C1220" s="34" t="s">
        <v>2009</v>
      </c>
      <c r="D1220" s="35"/>
      <c r="E1220" s="35"/>
      <c r="F1220" s="35"/>
      <c r="G1220" s="36"/>
      <c r="H1220" s="4">
        <f>LEN(C1220)</f>
        <v>6</v>
      </c>
      <c r="I1220" s="11">
        <f>MOD(H1220,2)*4+FLOOR(H1220/2,1)*6</f>
        <v>18</v>
      </c>
      <c r="J1220" s="12">
        <f>I1220+I1221</f>
        <v>42</v>
      </c>
      <c r="K1220" s="20"/>
      <c r="L1220" s="6" t="str">
        <f>IF(R1220&lt;=12,"有效","无效")</f>
        <v>有效</v>
      </c>
      <c r="M1220" s="31" t="s">
        <v>2013</v>
      </c>
      <c r="N1220" s="32"/>
      <c r="O1220" s="32"/>
      <c r="P1220" s="32"/>
      <c r="Q1220" s="33"/>
      <c r="R1220" s="10">
        <f>LEN(M1220)</f>
        <v>5</v>
      </c>
      <c r="S1220" s="10">
        <f>MOD(R1220,2)*4+FLOOR(R1220/2,1)*6</f>
        <v>16</v>
      </c>
      <c r="T1220" s="12">
        <f>S1220+S1221</f>
        <v>44</v>
      </c>
    </row>
    <row r="1221" spans="1:20" ht="20" customHeight="1">
      <c r="A1221" s="22"/>
      <c r="B1221" s="6" t="str">
        <f>IF(H1221&lt;=12,"有效","无效")</f>
        <v>有效</v>
      </c>
      <c r="C1221" s="34" t="s">
        <v>2010</v>
      </c>
      <c r="D1221" s="35"/>
      <c r="E1221" s="35"/>
      <c r="F1221" s="35"/>
      <c r="G1221" s="36"/>
      <c r="H1221" s="4">
        <f>LEN(C1221)</f>
        <v>8</v>
      </c>
      <c r="I1221" s="11">
        <f>MOD(H1221,2)*4+FLOOR(H1221/2,1)*6</f>
        <v>24</v>
      </c>
      <c r="J1221" s="12" t="str">
        <f>IF(J1220&lt;I1217,"有效","无效")</f>
        <v>有效</v>
      </c>
      <c r="K1221" s="20"/>
      <c r="L1221" s="6" t="str">
        <f>IF(R1221&lt;=12,"有效","无效")</f>
        <v>有效</v>
      </c>
      <c r="M1221" s="31" t="s">
        <v>2007</v>
      </c>
      <c r="N1221" s="32"/>
      <c r="O1221" s="32"/>
      <c r="P1221" s="32"/>
      <c r="Q1221" s="33"/>
      <c r="R1221" s="10">
        <f>LEN(M1221)</f>
        <v>9</v>
      </c>
      <c r="S1221" s="10">
        <f>MOD(R1221,2)*4+FLOOR(R1221/2,1)*6</f>
        <v>28</v>
      </c>
      <c r="T1221" s="12" t="str">
        <f>IF(T1220&lt;I1217,"有效","无效")</f>
        <v>有效</v>
      </c>
    </row>
    <row r="1222" spans="1:20" ht="20" customHeight="1">
      <c r="A1222" s="22">
        <v>245</v>
      </c>
      <c r="B1222" s="23" t="s">
        <v>401</v>
      </c>
      <c r="C1222" s="24" t="s">
        <v>402</v>
      </c>
      <c r="D1222" s="14">
        <f>LEN($B1222)</f>
        <v>2</v>
      </c>
      <c r="E1222" s="14">
        <f>LEN(C1222)+3</f>
        <v>5</v>
      </c>
      <c r="F1222" s="14">
        <f>MOD(D1222,2)*4+FLOOR(D1222/2,1)*6</f>
        <v>6</v>
      </c>
      <c r="G1222" s="14">
        <f>MOD(E1222,2)*4+FLOOR(E1222/2,1)*6</f>
        <v>16</v>
      </c>
      <c r="H1222" s="14">
        <v>12</v>
      </c>
      <c r="I1222" s="14">
        <f>108-H1222-G1222-F1222</f>
        <v>74</v>
      </c>
    </row>
    <row r="1223" spans="1:20" ht="20" customHeight="1">
      <c r="A1223" s="22"/>
      <c r="B1223" s="6" t="str">
        <f>IF(H1223&lt;=12,"有效","无效")</f>
        <v>有效</v>
      </c>
      <c r="C1223" s="31" t="s">
        <v>2014</v>
      </c>
      <c r="D1223" s="32"/>
      <c r="E1223" s="32"/>
      <c r="F1223" s="32"/>
      <c r="G1223" s="33"/>
      <c r="H1223" s="4">
        <f>LEN(C1223)</f>
        <v>6</v>
      </c>
      <c r="I1223" s="11">
        <f>MOD(H1223,2)*4+FLOOR(H1223/2,1)*6</f>
        <v>18</v>
      </c>
      <c r="J1223" s="12">
        <f>I1223+I1224</f>
        <v>42</v>
      </c>
      <c r="K1223" s="20"/>
      <c r="L1223" s="13" t="str">
        <f>IF(R1223&lt;=12,"有效","无效")</f>
        <v>有效</v>
      </c>
      <c r="M1223" s="35" t="s">
        <v>2046</v>
      </c>
      <c r="N1223" s="35"/>
      <c r="O1223" s="35"/>
      <c r="P1223" s="35"/>
      <c r="Q1223" s="36"/>
      <c r="R1223" s="10">
        <f>LEN(M1223)</f>
        <v>9</v>
      </c>
      <c r="S1223" s="10">
        <f>MOD(R1223,2)*4+FLOOR(R1223/2,1)*6</f>
        <v>28</v>
      </c>
      <c r="T1223" s="12">
        <f>S1223+S1224</f>
        <v>58</v>
      </c>
    </row>
    <row r="1224" spans="1:20" ht="20" customHeight="1">
      <c r="A1224" s="22"/>
      <c r="B1224" s="6" t="str">
        <f>IF(H1224&lt;=12,"有效","无效")</f>
        <v>有效</v>
      </c>
      <c r="C1224" s="31" t="s">
        <v>2015</v>
      </c>
      <c r="D1224" s="32"/>
      <c r="E1224" s="32"/>
      <c r="F1224" s="32"/>
      <c r="G1224" s="33"/>
      <c r="H1224" s="4">
        <f>LEN(C1224)</f>
        <v>8</v>
      </c>
      <c r="I1224" s="11">
        <f>MOD(H1224,2)*4+FLOOR(H1224/2,1)*6</f>
        <v>24</v>
      </c>
      <c r="J1224" s="12" t="str">
        <f>IF(J1223&lt;I1222,"有效","无效")</f>
        <v>有效</v>
      </c>
      <c r="K1224" s="20"/>
      <c r="L1224" s="6" t="str">
        <f>IF(R1224&lt;=12,"有效","无效")</f>
        <v>有效</v>
      </c>
      <c r="M1224" s="34" t="s">
        <v>2017</v>
      </c>
      <c r="N1224" s="35"/>
      <c r="O1224" s="35"/>
      <c r="P1224" s="35"/>
      <c r="Q1224" s="36"/>
      <c r="R1224" s="10">
        <f>LEN(M1224)</f>
        <v>10</v>
      </c>
      <c r="S1224" s="10">
        <f>MOD(R1224,2)*4+FLOOR(R1224/2,1)*6</f>
        <v>30</v>
      </c>
      <c r="T1224" s="12" t="str">
        <f>IF(T1223&lt;I1222,"有效","无效")</f>
        <v>有效</v>
      </c>
    </row>
    <row r="1225" spans="1:20" ht="20" customHeight="1">
      <c r="A1225" s="22"/>
      <c r="B1225" s="6" t="str">
        <f>IF(H1225&lt;=12,"有效","无效")</f>
        <v>有效</v>
      </c>
      <c r="C1225" s="31" t="s">
        <v>2000</v>
      </c>
      <c r="D1225" s="32"/>
      <c r="E1225" s="32"/>
      <c r="F1225" s="32"/>
      <c r="G1225" s="33"/>
      <c r="H1225" s="4">
        <f>LEN(C1225)</f>
        <v>3</v>
      </c>
      <c r="I1225" s="11">
        <f>MOD(H1225,2)*4+FLOOR(H1225/2,1)*6</f>
        <v>10</v>
      </c>
      <c r="J1225" s="12">
        <f>I1225+I1226</f>
        <v>28</v>
      </c>
      <c r="K1225" s="20"/>
      <c r="L1225" s="6" t="str">
        <f>IF(R1225&lt;=12,"有效","无效")</f>
        <v>有效</v>
      </c>
      <c r="M1225" s="34" t="s">
        <v>2013</v>
      </c>
      <c r="N1225" s="35"/>
      <c r="O1225" s="35"/>
      <c r="P1225" s="35"/>
      <c r="Q1225" s="36"/>
      <c r="R1225" s="10">
        <f>LEN(M1225)</f>
        <v>5</v>
      </c>
      <c r="S1225" s="10">
        <f>MOD(R1225,2)*4+FLOOR(R1225/2,1)*6</f>
        <v>16</v>
      </c>
      <c r="T1225" s="12">
        <f>S1225+S1226</f>
        <v>44</v>
      </c>
    </row>
    <row r="1226" spans="1:20" ht="20" customHeight="1">
      <c r="A1226" s="22"/>
      <c r="B1226" s="6" t="str">
        <f>IF(H1226&lt;=12,"有效","无效")</f>
        <v>有效</v>
      </c>
      <c r="C1226" s="31" t="s">
        <v>2016</v>
      </c>
      <c r="D1226" s="32"/>
      <c r="E1226" s="32"/>
      <c r="F1226" s="32"/>
      <c r="G1226" s="33"/>
      <c r="H1226" s="4">
        <f>LEN(C1226)</f>
        <v>6</v>
      </c>
      <c r="I1226" s="11">
        <f>MOD(H1226,2)*4+FLOOR(H1226/2,1)*6</f>
        <v>18</v>
      </c>
      <c r="J1226" s="12" t="str">
        <f>IF(J1225&lt;I1222,"有效","无效")</f>
        <v>有效</v>
      </c>
      <c r="K1226" s="20"/>
      <c r="L1226" s="6" t="str">
        <f>IF(R1226&lt;=12,"有效","无效")</f>
        <v>有效</v>
      </c>
      <c r="M1226" s="34" t="s">
        <v>2007</v>
      </c>
      <c r="N1226" s="35"/>
      <c r="O1226" s="35"/>
      <c r="P1226" s="35"/>
      <c r="Q1226" s="36"/>
      <c r="R1226" s="10">
        <f>LEN(M1226)</f>
        <v>9</v>
      </c>
      <c r="S1226" s="10">
        <f>MOD(R1226,2)*4+FLOOR(R1226/2,1)*6</f>
        <v>28</v>
      </c>
      <c r="T1226" s="12" t="str">
        <f>IF(T1225&lt;I1222,"有效","无效")</f>
        <v>有效</v>
      </c>
    </row>
    <row r="1227" spans="1:20" ht="20" customHeight="1">
      <c r="A1227" s="22">
        <v>246</v>
      </c>
      <c r="B1227" s="23" t="s">
        <v>403</v>
      </c>
      <c r="C1227" s="24" t="s">
        <v>404</v>
      </c>
      <c r="D1227" s="14">
        <f>LEN($B1227)</f>
        <v>4</v>
      </c>
      <c r="E1227" s="14">
        <f>LEN(C1227)+3</f>
        <v>6</v>
      </c>
      <c r="F1227" s="14">
        <f>MOD(D1227,2)*4+FLOOR(D1227/2,1)*6</f>
        <v>12</v>
      </c>
      <c r="G1227" s="14">
        <f>MOD(E1227,2)*4+FLOOR(E1227/2,1)*6</f>
        <v>18</v>
      </c>
      <c r="H1227" s="14">
        <v>12</v>
      </c>
      <c r="I1227" s="14">
        <f>108-H1227-G1227-F1227</f>
        <v>66</v>
      </c>
    </row>
    <row r="1228" spans="1:20" ht="20" customHeight="1">
      <c r="A1228" s="22"/>
      <c r="B1228" s="6" t="str">
        <f>IF(H1228&lt;=12,"有效","无效")</f>
        <v>有效</v>
      </c>
      <c r="C1228" s="31" t="s">
        <v>2018</v>
      </c>
      <c r="D1228" s="32"/>
      <c r="E1228" s="32"/>
      <c r="F1228" s="32"/>
      <c r="G1228" s="33"/>
      <c r="H1228" s="4">
        <f>LEN(C1228)</f>
        <v>6</v>
      </c>
      <c r="I1228" s="11">
        <f>MOD(H1228,2)*4+FLOOR(H1228/2,1)*6</f>
        <v>18</v>
      </c>
      <c r="J1228" s="12">
        <f>I1228+I1229</f>
        <v>42</v>
      </c>
      <c r="K1228" s="20"/>
      <c r="L1228" s="13" t="str">
        <f>IF(R1228&lt;=12,"有效","无效")</f>
        <v>有效</v>
      </c>
      <c r="M1228" s="32" t="s">
        <v>2022</v>
      </c>
      <c r="N1228" s="32"/>
      <c r="O1228" s="32"/>
      <c r="P1228" s="32"/>
      <c r="Q1228" s="33"/>
      <c r="R1228" s="10">
        <f>LEN(M1228)</f>
        <v>3</v>
      </c>
      <c r="S1228" s="10">
        <f>MOD(R1228,2)*4+FLOOR(R1228/2,1)*6</f>
        <v>10</v>
      </c>
      <c r="T1228" s="12">
        <f>S1228+S1229</f>
        <v>26</v>
      </c>
    </row>
    <row r="1229" spans="1:20" ht="20" customHeight="1">
      <c r="A1229" s="22"/>
      <c r="B1229" s="6" t="str">
        <f>IF(H1229&lt;=12,"有效","无效")</f>
        <v>有效</v>
      </c>
      <c r="C1229" s="31" t="s">
        <v>2019</v>
      </c>
      <c r="D1229" s="32"/>
      <c r="E1229" s="32"/>
      <c r="F1229" s="32"/>
      <c r="G1229" s="33"/>
      <c r="H1229" s="4">
        <f>LEN(C1229)</f>
        <v>8</v>
      </c>
      <c r="I1229" s="11">
        <f>MOD(H1229,2)*4+FLOOR(H1229/2,1)*6</f>
        <v>24</v>
      </c>
      <c r="J1229" s="12" t="str">
        <f>IF(J1228&lt;I1227,"有效","无效")</f>
        <v>有效</v>
      </c>
      <c r="K1229" s="20"/>
      <c r="L1229" s="6" t="str">
        <f>IF(R1229&lt;=12,"有效","无效")</f>
        <v>有效</v>
      </c>
      <c r="M1229" s="31" t="s">
        <v>2023</v>
      </c>
      <c r="N1229" s="32"/>
      <c r="O1229" s="32"/>
      <c r="P1229" s="32"/>
      <c r="Q1229" s="33"/>
      <c r="R1229" s="10">
        <f>LEN(M1229)</f>
        <v>5</v>
      </c>
      <c r="S1229" s="10">
        <f>MOD(R1229,2)*4+FLOOR(R1229/2,1)*6</f>
        <v>16</v>
      </c>
      <c r="T1229" s="12" t="str">
        <f>IF(T1228&lt;I1227,"有效","无效")</f>
        <v>有效</v>
      </c>
    </row>
    <row r="1230" spans="1:20" ht="20" customHeight="1">
      <c r="A1230" s="22"/>
      <c r="B1230" s="6" t="str">
        <f>IF(H1230&lt;=12,"有效","无效")</f>
        <v>有效</v>
      </c>
      <c r="C1230" s="31" t="s">
        <v>2020</v>
      </c>
      <c r="D1230" s="32"/>
      <c r="E1230" s="32"/>
      <c r="F1230" s="32"/>
      <c r="G1230" s="33"/>
      <c r="H1230" s="4">
        <f>LEN(C1230)</f>
        <v>6</v>
      </c>
      <c r="I1230" s="11">
        <f>MOD(H1230,2)*4+FLOOR(H1230/2,1)*6</f>
        <v>18</v>
      </c>
      <c r="J1230" s="12">
        <f>I1230+I1231</f>
        <v>36</v>
      </c>
      <c r="K1230" s="20"/>
      <c r="L1230" s="6" t="str">
        <f>IF(R1230&lt;=12,"有效","无效")</f>
        <v>有效</v>
      </c>
      <c r="M1230" s="31" t="s">
        <v>2024</v>
      </c>
      <c r="N1230" s="32"/>
      <c r="O1230" s="32"/>
      <c r="P1230" s="32"/>
      <c r="Q1230" s="33"/>
      <c r="R1230" s="10">
        <f>LEN(M1230)</f>
        <v>10</v>
      </c>
      <c r="S1230" s="10">
        <f>MOD(R1230,2)*4+FLOOR(R1230/2,1)*6</f>
        <v>30</v>
      </c>
      <c r="T1230" s="12">
        <f>S1230+S1231</f>
        <v>58</v>
      </c>
    </row>
    <row r="1231" spans="1:20" ht="20" customHeight="1">
      <c r="A1231" s="22"/>
      <c r="B1231" s="6" t="str">
        <f>IF(H1231&lt;=12,"有效","无效")</f>
        <v>有效</v>
      </c>
      <c r="C1231" s="31" t="s">
        <v>2021</v>
      </c>
      <c r="D1231" s="32"/>
      <c r="E1231" s="32"/>
      <c r="F1231" s="32"/>
      <c r="G1231" s="33"/>
      <c r="H1231" s="4">
        <f>LEN(C1231)</f>
        <v>6</v>
      </c>
      <c r="I1231" s="11">
        <f>MOD(H1231,2)*4+FLOOR(H1231/2,1)*6</f>
        <v>18</v>
      </c>
      <c r="J1231" s="12" t="str">
        <f>IF(J1230&lt;I1227,"有效","无效")</f>
        <v>有效</v>
      </c>
      <c r="K1231" s="20"/>
      <c r="L1231" s="6" t="str">
        <f>IF(R1231&lt;=12,"有效","无效")</f>
        <v>有效</v>
      </c>
      <c r="M1231" s="31" t="s">
        <v>2025</v>
      </c>
      <c r="N1231" s="32"/>
      <c r="O1231" s="32"/>
      <c r="P1231" s="32"/>
      <c r="Q1231" s="33"/>
      <c r="R1231" s="10">
        <f>LEN(M1231)</f>
        <v>9</v>
      </c>
      <c r="S1231" s="10">
        <f>MOD(R1231,2)*4+FLOOR(R1231/2,1)*6</f>
        <v>28</v>
      </c>
      <c r="T1231" s="12" t="str">
        <f>IF(T1230&lt;I1227,"有效","无效")</f>
        <v>有效</v>
      </c>
    </row>
    <row r="1232" spans="1:20" ht="20" customHeight="1">
      <c r="A1232" s="22">
        <v>247</v>
      </c>
      <c r="B1232" s="23" t="s">
        <v>405</v>
      </c>
      <c r="C1232" s="24" t="s">
        <v>406</v>
      </c>
      <c r="D1232" s="14">
        <f>LEN($B1232)</f>
        <v>4</v>
      </c>
      <c r="E1232" s="14">
        <f>LEN(C1232)+3</f>
        <v>5</v>
      </c>
      <c r="F1232" s="14">
        <f>MOD(D1232,2)*4+FLOOR(D1232/2,1)*6</f>
        <v>12</v>
      </c>
      <c r="G1232" s="14">
        <f>MOD(E1232,2)*4+FLOOR(E1232/2,1)*6</f>
        <v>16</v>
      </c>
      <c r="H1232" s="14">
        <v>12</v>
      </c>
      <c r="I1232" s="14">
        <f>108-H1232-G1232-F1232</f>
        <v>68</v>
      </c>
    </row>
    <row r="1233" spans="1:20" ht="20" customHeight="1">
      <c r="A1233" s="22"/>
      <c r="B1233" s="6" t="str">
        <f>IF(H1233&lt;=12,"有效","无效")</f>
        <v>有效</v>
      </c>
      <c r="C1233" s="31" t="s">
        <v>2026</v>
      </c>
      <c r="D1233" s="32"/>
      <c r="E1233" s="32"/>
      <c r="F1233" s="32"/>
      <c r="G1233" s="33"/>
      <c r="H1233" s="4">
        <f>LEN(C1233)</f>
        <v>7</v>
      </c>
      <c r="I1233" s="11">
        <f>MOD(H1233,2)*4+FLOOR(H1233/2,1)*6</f>
        <v>22</v>
      </c>
      <c r="J1233" s="12">
        <f>I1233+I1234</f>
        <v>46</v>
      </c>
      <c r="K1233" s="20"/>
      <c r="L1233" s="13" t="str">
        <f>IF(R1233&lt;=12,"有效","无效")</f>
        <v>有效</v>
      </c>
      <c r="M1233" s="32" t="s">
        <v>2030</v>
      </c>
      <c r="N1233" s="32"/>
      <c r="O1233" s="32"/>
      <c r="P1233" s="32"/>
      <c r="Q1233" s="33"/>
      <c r="R1233" s="10">
        <f>LEN(M1233)</f>
        <v>8</v>
      </c>
      <c r="S1233" s="10">
        <f>MOD(R1233,2)*4+FLOOR(R1233/2,1)*6</f>
        <v>24</v>
      </c>
      <c r="T1233" s="12">
        <f>S1233+S1234</f>
        <v>54</v>
      </c>
    </row>
    <row r="1234" spans="1:20" ht="20" customHeight="1">
      <c r="A1234" s="22"/>
      <c r="B1234" s="6" t="str">
        <f>IF(H1234&lt;=12,"有效","无效")</f>
        <v>有效</v>
      </c>
      <c r="C1234" s="31" t="s">
        <v>2027</v>
      </c>
      <c r="D1234" s="32"/>
      <c r="E1234" s="32"/>
      <c r="F1234" s="32"/>
      <c r="G1234" s="33"/>
      <c r="H1234" s="4">
        <f>LEN(C1234)</f>
        <v>8</v>
      </c>
      <c r="I1234" s="11">
        <f>MOD(H1234,2)*4+FLOOR(H1234/2,1)*6</f>
        <v>24</v>
      </c>
      <c r="J1234" s="12" t="str">
        <f>IF(J1233&lt;I1232,"有效","无效")</f>
        <v>有效</v>
      </c>
      <c r="K1234" s="20"/>
      <c r="L1234" s="6" t="str">
        <f>IF(R1234&lt;=12,"有效","无效")</f>
        <v>有效</v>
      </c>
      <c r="M1234" s="31" t="s">
        <v>2031</v>
      </c>
      <c r="N1234" s="32"/>
      <c r="O1234" s="32"/>
      <c r="P1234" s="32"/>
      <c r="Q1234" s="33"/>
      <c r="R1234" s="10">
        <f>LEN(M1234)</f>
        <v>10</v>
      </c>
      <c r="S1234" s="10">
        <f>MOD(R1234,2)*4+FLOOR(R1234/2,1)*6</f>
        <v>30</v>
      </c>
      <c r="T1234" s="12" t="str">
        <f>IF(T1233&lt;I1232,"有效","无效")</f>
        <v>有效</v>
      </c>
    </row>
    <row r="1235" spans="1:20" ht="20" customHeight="1">
      <c r="A1235" s="22"/>
      <c r="B1235" s="6" t="str">
        <f>IF(H1235&lt;=12,"有效","无效")</f>
        <v>有效</v>
      </c>
      <c r="C1235" s="31" t="s">
        <v>2028</v>
      </c>
      <c r="D1235" s="32"/>
      <c r="E1235" s="32"/>
      <c r="F1235" s="32"/>
      <c r="G1235" s="33"/>
      <c r="H1235" s="4">
        <f>LEN(C1235)</f>
        <v>7</v>
      </c>
      <c r="I1235" s="11">
        <f>MOD(H1235,2)*4+FLOOR(H1235/2,1)*6</f>
        <v>22</v>
      </c>
      <c r="J1235" s="12">
        <f>I1235+I1236</f>
        <v>52</v>
      </c>
      <c r="K1235" s="20"/>
      <c r="L1235" s="6" t="str">
        <f>IF(R1235&lt;=12,"有效","无效")</f>
        <v>有效</v>
      </c>
      <c r="M1235" s="31" t="s">
        <v>2032</v>
      </c>
      <c r="N1235" s="32"/>
      <c r="O1235" s="32"/>
      <c r="P1235" s="32"/>
      <c r="Q1235" s="33"/>
      <c r="R1235" s="10">
        <f>LEN(M1235)</f>
        <v>8</v>
      </c>
      <c r="S1235" s="10">
        <f>MOD(R1235,2)*4+FLOOR(R1235/2,1)*6</f>
        <v>24</v>
      </c>
      <c r="T1235" s="12">
        <f>S1235+S1236</f>
        <v>48</v>
      </c>
    </row>
    <row r="1236" spans="1:20" ht="20" customHeight="1">
      <c r="A1236" s="22"/>
      <c r="B1236" s="6" t="str">
        <f>IF(H1236&lt;=12,"有效","无效")</f>
        <v>有效</v>
      </c>
      <c r="C1236" s="31" t="s">
        <v>2029</v>
      </c>
      <c r="D1236" s="32"/>
      <c r="E1236" s="32"/>
      <c r="F1236" s="32"/>
      <c r="G1236" s="33"/>
      <c r="H1236" s="4">
        <f>LEN(C1236)</f>
        <v>10</v>
      </c>
      <c r="I1236" s="11">
        <f>MOD(H1236,2)*4+FLOOR(H1236/2,1)*6</f>
        <v>30</v>
      </c>
      <c r="J1236" s="12" t="str">
        <f>IF(J1235&lt;I1232,"有效","无效")</f>
        <v>有效</v>
      </c>
      <c r="K1236" s="20"/>
      <c r="L1236" s="6" t="str">
        <f>IF(R1236&lt;=12,"有效","无效")</f>
        <v>有效</v>
      </c>
      <c r="M1236" s="31" t="s">
        <v>2033</v>
      </c>
      <c r="N1236" s="32"/>
      <c r="O1236" s="32"/>
      <c r="P1236" s="32"/>
      <c r="Q1236" s="33"/>
      <c r="R1236" s="10">
        <f>LEN(M1236)</f>
        <v>8</v>
      </c>
      <c r="S1236" s="10">
        <f>MOD(R1236,2)*4+FLOOR(R1236/2,1)*6</f>
        <v>24</v>
      </c>
      <c r="T1236" s="12" t="str">
        <f>IF(T1235&lt;I1232,"有效","无效")</f>
        <v>有效</v>
      </c>
    </row>
    <row r="1237" spans="1:20" ht="20" customHeight="1">
      <c r="A1237" s="22">
        <v>248</v>
      </c>
      <c r="B1237" s="23" t="s">
        <v>407</v>
      </c>
      <c r="C1237" s="24" t="s">
        <v>380</v>
      </c>
      <c r="D1237" s="14">
        <f>LEN($B1237)</f>
        <v>4</v>
      </c>
      <c r="E1237" s="14">
        <f>LEN(C1237)+3</f>
        <v>5</v>
      </c>
      <c r="F1237" s="14">
        <f>MOD(D1237,2)*4+FLOOR(D1237/2,1)*6</f>
        <v>12</v>
      </c>
      <c r="G1237" s="14">
        <f>MOD(E1237,2)*4+FLOOR(E1237/2,1)*6</f>
        <v>16</v>
      </c>
      <c r="H1237" s="14">
        <v>12</v>
      </c>
      <c r="I1237" s="14">
        <f>108-H1237-G1237-F1237</f>
        <v>68</v>
      </c>
    </row>
    <row r="1238" spans="1:20" ht="20" customHeight="1">
      <c r="A1238" s="22"/>
      <c r="B1238" s="6" t="str">
        <f>IF(H1238&lt;=12,"有效","无效")</f>
        <v>有效</v>
      </c>
      <c r="C1238" s="31" t="s">
        <v>2034</v>
      </c>
      <c r="D1238" s="32"/>
      <c r="E1238" s="32"/>
      <c r="F1238" s="32"/>
      <c r="G1238" s="33"/>
      <c r="H1238" s="4">
        <f>LEN(C1238)</f>
        <v>10</v>
      </c>
      <c r="I1238" s="11">
        <f>MOD(H1238,2)*4+FLOOR(H1238/2,1)*6</f>
        <v>30</v>
      </c>
      <c r="J1238" s="12">
        <f>I1238+I1239</f>
        <v>60</v>
      </c>
      <c r="K1238" s="20"/>
      <c r="L1238" s="13" t="str">
        <f>IF(R1238&lt;=12,"有效","无效")</f>
        <v>有效</v>
      </c>
      <c r="M1238" s="32" t="s">
        <v>2038</v>
      </c>
      <c r="N1238" s="32"/>
      <c r="O1238" s="32"/>
      <c r="P1238" s="32"/>
      <c r="Q1238" s="33"/>
      <c r="R1238" s="10">
        <f>LEN(M1238)</f>
        <v>11</v>
      </c>
      <c r="S1238" s="10">
        <f>MOD(R1238,2)*4+FLOOR(R1238/2,1)*6</f>
        <v>34</v>
      </c>
      <c r="T1238" s="12">
        <f>S1238+S1239</f>
        <v>56</v>
      </c>
    </row>
    <row r="1239" spans="1:20" ht="20" customHeight="1">
      <c r="A1239" s="22"/>
      <c r="B1239" s="6" t="str">
        <f>IF(H1239&lt;=12,"有效","无效")</f>
        <v>有效</v>
      </c>
      <c r="C1239" s="31" t="s">
        <v>2035</v>
      </c>
      <c r="D1239" s="32"/>
      <c r="E1239" s="32"/>
      <c r="F1239" s="32"/>
      <c r="G1239" s="33"/>
      <c r="H1239" s="4">
        <f>LEN(C1239)</f>
        <v>10</v>
      </c>
      <c r="I1239" s="11">
        <f>MOD(H1239,2)*4+FLOOR(H1239/2,1)*6</f>
        <v>30</v>
      </c>
      <c r="J1239" s="12" t="str">
        <f>IF(J1238&lt;I1237,"有效","无效")</f>
        <v>有效</v>
      </c>
      <c r="K1239" s="20"/>
      <c r="L1239" s="6" t="str">
        <f>IF(R1239&lt;=12,"有效","无效")</f>
        <v>有效</v>
      </c>
      <c r="M1239" s="31" t="s">
        <v>2400</v>
      </c>
      <c r="N1239" s="32"/>
      <c r="O1239" s="32"/>
      <c r="P1239" s="32"/>
      <c r="Q1239" s="33"/>
      <c r="R1239" s="10">
        <f>LEN(M1239)</f>
        <v>7</v>
      </c>
      <c r="S1239" s="10">
        <f>MOD(R1239,2)*4+FLOOR(R1239/2,1)*6</f>
        <v>22</v>
      </c>
      <c r="T1239" s="12" t="str">
        <f>IF(T1238&lt;I1237,"有效","无效")</f>
        <v>有效</v>
      </c>
    </row>
    <row r="1240" spans="1:20" ht="20" customHeight="1">
      <c r="A1240" s="22"/>
      <c r="B1240" s="6" t="str">
        <f>IF(H1240&lt;=12,"有效","无效")</f>
        <v>有效</v>
      </c>
      <c r="C1240" s="31" t="s">
        <v>2036</v>
      </c>
      <c r="D1240" s="32"/>
      <c r="E1240" s="32"/>
      <c r="F1240" s="32"/>
      <c r="G1240" s="33"/>
      <c r="H1240" s="4">
        <f>LEN(C1240)</f>
        <v>5</v>
      </c>
      <c r="I1240" s="11">
        <f>MOD(H1240,2)*4+FLOOR(H1240/2,1)*6</f>
        <v>16</v>
      </c>
      <c r="J1240" s="12">
        <f>I1240+I1241</f>
        <v>34</v>
      </c>
      <c r="K1240" s="20"/>
      <c r="L1240" s="6" t="str">
        <f>IF(R1240&lt;=12,"有效","无效")</f>
        <v>有效</v>
      </c>
      <c r="M1240" s="31" t="s">
        <v>2401</v>
      </c>
      <c r="N1240" s="32"/>
      <c r="O1240" s="32"/>
      <c r="P1240" s="32"/>
      <c r="Q1240" s="33"/>
      <c r="R1240" s="10">
        <f>LEN(M1240)</f>
        <v>10</v>
      </c>
      <c r="S1240" s="10">
        <f>MOD(R1240,2)*4+FLOOR(R1240/2,1)*6</f>
        <v>30</v>
      </c>
      <c r="T1240" s="12">
        <f>S1240+S1241</f>
        <v>54</v>
      </c>
    </row>
    <row r="1241" spans="1:20" ht="20" customHeight="1">
      <c r="A1241" s="22"/>
      <c r="B1241" s="6" t="str">
        <f>IF(H1241&lt;=12,"有效","无效")</f>
        <v>有效</v>
      </c>
      <c r="C1241" s="31" t="s">
        <v>2037</v>
      </c>
      <c r="D1241" s="32"/>
      <c r="E1241" s="32"/>
      <c r="F1241" s="32"/>
      <c r="G1241" s="33"/>
      <c r="H1241" s="4">
        <f>LEN(C1241)</f>
        <v>6</v>
      </c>
      <c r="I1241" s="11">
        <f>MOD(H1241,2)*4+FLOOR(H1241/2,1)*6</f>
        <v>18</v>
      </c>
      <c r="J1241" s="12" t="str">
        <f>IF(J1240&lt;I1237,"有效","无效")</f>
        <v>有效</v>
      </c>
      <c r="K1241" s="20"/>
      <c r="L1241" s="6" t="str">
        <f>IF(R1241&lt;=12,"有效","无效")</f>
        <v>有效</v>
      </c>
      <c r="M1241" s="31" t="s">
        <v>2039</v>
      </c>
      <c r="N1241" s="32"/>
      <c r="O1241" s="32"/>
      <c r="P1241" s="32"/>
      <c r="Q1241" s="33"/>
      <c r="R1241" s="10">
        <f>LEN(M1241)</f>
        <v>8</v>
      </c>
      <c r="S1241" s="10">
        <f>MOD(R1241,2)*4+FLOOR(R1241/2,1)*6</f>
        <v>24</v>
      </c>
      <c r="T1241" s="12" t="str">
        <f>IF(T1240&lt;I1237,"有效","无效")</f>
        <v>有效</v>
      </c>
    </row>
    <row r="1242" spans="1:20" ht="20" customHeight="1">
      <c r="A1242" s="22">
        <v>249</v>
      </c>
      <c r="B1242" s="23" t="s">
        <v>408</v>
      </c>
      <c r="C1242" s="24" t="s">
        <v>409</v>
      </c>
      <c r="D1242" s="14">
        <f>LEN($B1242)</f>
        <v>3</v>
      </c>
      <c r="E1242" s="14">
        <f>LEN(C1242)+3</f>
        <v>5</v>
      </c>
      <c r="F1242" s="14">
        <f>MOD(D1242,2)*4+FLOOR(D1242/2,1)*6</f>
        <v>10</v>
      </c>
      <c r="G1242" s="14">
        <f>MOD(E1242,2)*4+FLOOR(E1242/2,1)*6</f>
        <v>16</v>
      </c>
      <c r="H1242" s="14">
        <v>12</v>
      </c>
      <c r="I1242" s="14">
        <f>108-H1242-G1242-F1242</f>
        <v>70</v>
      </c>
    </row>
    <row r="1243" spans="1:20" ht="20" customHeight="1">
      <c r="A1243" s="22"/>
      <c r="B1243" s="6" t="str">
        <f>IF(H1243&lt;=12,"有效","无效")</f>
        <v>有效</v>
      </c>
      <c r="C1243" s="34" t="s">
        <v>2044</v>
      </c>
      <c r="D1243" s="35"/>
      <c r="E1243" s="35"/>
      <c r="F1243" s="35"/>
      <c r="G1243" s="36"/>
      <c r="H1243" s="4">
        <f>LEN(C1243)</f>
        <v>7</v>
      </c>
      <c r="I1243" s="11">
        <f>MOD(H1243,2)*4+FLOOR(H1243/2,1)*6</f>
        <v>22</v>
      </c>
      <c r="J1243" s="12">
        <f>I1243+I1244</f>
        <v>46</v>
      </c>
      <c r="K1243" s="20"/>
      <c r="L1243" s="13" t="str">
        <f>IF(R1243&lt;=12,"有效","无效")</f>
        <v>有效</v>
      </c>
      <c r="M1243" s="32" t="s">
        <v>2043</v>
      </c>
      <c r="N1243" s="32"/>
      <c r="O1243" s="32"/>
      <c r="P1243" s="32"/>
      <c r="Q1243" s="33"/>
      <c r="R1243" s="10">
        <f>LEN(M1243)</f>
        <v>5</v>
      </c>
      <c r="S1243" s="10">
        <f>MOD(R1243,2)*4+FLOOR(R1243/2,1)*6</f>
        <v>16</v>
      </c>
      <c r="T1243" s="12">
        <f>S1243+S1244</f>
        <v>32</v>
      </c>
    </row>
    <row r="1244" spans="1:20" ht="20" customHeight="1">
      <c r="A1244" s="22"/>
      <c r="B1244" s="6" t="str">
        <f>IF(H1244&lt;=12,"有效","无效")</f>
        <v>有效</v>
      </c>
      <c r="C1244" s="34" t="s">
        <v>2040</v>
      </c>
      <c r="D1244" s="35"/>
      <c r="E1244" s="35"/>
      <c r="F1244" s="35"/>
      <c r="G1244" s="36"/>
      <c r="H1244" s="4">
        <f>LEN(C1244)</f>
        <v>8</v>
      </c>
      <c r="I1244" s="11">
        <f>MOD(H1244,2)*4+FLOOR(H1244/2,1)*6</f>
        <v>24</v>
      </c>
      <c r="J1244" s="12" t="str">
        <f>IF(J1243&lt;I1242,"有效","无效")</f>
        <v>有效</v>
      </c>
      <c r="K1244" s="20"/>
      <c r="L1244" s="6" t="str">
        <f>IF(R1244&lt;=12,"有效","无效")</f>
        <v>有效</v>
      </c>
      <c r="M1244" s="31" t="s">
        <v>1148</v>
      </c>
      <c r="N1244" s="32"/>
      <c r="O1244" s="32"/>
      <c r="P1244" s="32"/>
      <c r="Q1244" s="33"/>
      <c r="R1244" s="10">
        <f>LEN(M1244)</f>
        <v>5</v>
      </c>
      <c r="S1244" s="10">
        <f>MOD(R1244,2)*4+FLOOR(R1244/2,1)*6</f>
        <v>16</v>
      </c>
      <c r="T1244" s="12" t="str">
        <f>IF(T1243&lt;I1242,"有效","无效")</f>
        <v>有效</v>
      </c>
    </row>
    <row r="1245" spans="1:20" ht="20" customHeight="1">
      <c r="A1245" s="22"/>
      <c r="B1245" s="6" t="str">
        <f>IF(H1245&lt;=12,"有效","无效")</f>
        <v>有效</v>
      </c>
      <c r="C1245" s="34" t="s">
        <v>2041</v>
      </c>
      <c r="D1245" s="35"/>
      <c r="E1245" s="35"/>
      <c r="F1245" s="35"/>
      <c r="G1245" s="36"/>
      <c r="H1245" s="4">
        <f>LEN(C1245)</f>
        <v>9</v>
      </c>
      <c r="I1245" s="11">
        <f>MOD(H1245,2)*4+FLOOR(H1245/2,1)*6</f>
        <v>28</v>
      </c>
      <c r="J1245" s="12">
        <f>I1245+I1246</f>
        <v>52</v>
      </c>
      <c r="K1245" s="20"/>
      <c r="L1245" s="6" t="str">
        <f>IF(R1245&lt;=12,"有效","无效")</f>
        <v>有效</v>
      </c>
      <c r="M1245" s="31" t="s">
        <v>2047</v>
      </c>
      <c r="N1245" s="32"/>
      <c r="O1245" s="32"/>
      <c r="P1245" s="32"/>
      <c r="Q1245" s="33"/>
      <c r="R1245" s="10">
        <f>LEN(M1245)</f>
        <v>9</v>
      </c>
      <c r="S1245" s="10">
        <f>MOD(R1245,2)*4+FLOOR(R1245/2,1)*6</f>
        <v>28</v>
      </c>
      <c r="T1245" s="12">
        <f>S1245+S1246</f>
        <v>56</v>
      </c>
    </row>
    <row r="1246" spans="1:20" ht="20" customHeight="1">
      <c r="A1246" s="22"/>
      <c r="B1246" s="6" t="str">
        <f>IF(H1246&lt;=12,"有效","无效")</f>
        <v>有效</v>
      </c>
      <c r="C1246" s="34" t="s">
        <v>2042</v>
      </c>
      <c r="D1246" s="35"/>
      <c r="E1246" s="35"/>
      <c r="F1246" s="35"/>
      <c r="G1246" s="36"/>
      <c r="H1246" s="4">
        <f>LEN(C1246)</f>
        <v>8</v>
      </c>
      <c r="I1246" s="11">
        <f>MOD(H1246,2)*4+FLOOR(H1246/2,1)*6</f>
        <v>24</v>
      </c>
      <c r="J1246" s="12" t="str">
        <f>IF(J1245&lt;I1242,"有效","无效")</f>
        <v>有效</v>
      </c>
      <c r="K1246" s="20"/>
      <c r="L1246" s="6" t="str">
        <f>IF(R1246&lt;=12,"有效","无效")</f>
        <v>有效</v>
      </c>
      <c r="M1246" s="31" t="s">
        <v>2048</v>
      </c>
      <c r="N1246" s="32"/>
      <c r="O1246" s="32"/>
      <c r="P1246" s="32"/>
      <c r="Q1246" s="33"/>
      <c r="R1246" s="10">
        <f>LEN(M1246)</f>
        <v>9</v>
      </c>
      <c r="S1246" s="10">
        <f>MOD(R1246,2)*4+FLOOR(R1246/2,1)*6</f>
        <v>28</v>
      </c>
      <c r="T1246" s="12" t="str">
        <f>IF(T1245&lt;I1242,"有效","无效")</f>
        <v>有效</v>
      </c>
    </row>
    <row r="1247" spans="1:20" ht="20" customHeight="1">
      <c r="A1247" s="22">
        <v>250</v>
      </c>
      <c r="B1247" s="23" t="s">
        <v>410</v>
      </c>
      <c r="C1247" s="24" t="s">
        <v>411</v>
      </c>
      <c r="D1247" s="14">
        <f>LEN($B1247)</f>
        <v>2</v>
      </c>
      <c r="E1247" s="14">
        <f>LEN(C1247)+3</f>
        <v>5</v>
      </c>
      <c r="F1247" s="14">
        <f>MOD(D1247,2)*4+FLOOR(D1247/2,1)*6</f>
        <v>6</v>
      </c>
      <c r="G1247" s="14">
        <f>MOD(E1247,2)*4+FLOOR(E1247/2,1)*6</f>
        <v>16</v>
      </c>
      <c r="H1247" s="14">
        <v>12</v>
      </c>
      <c r="I1247" s="14">
        <f>108-H1247-G1247-F1247</f>
        <v>74</v>
      </c>
    </row>
    <row r="1248" spans="1:20" ht="20" customHeight="1">
      <c r="A1248" s="22"/>
      <c r="B1248" s="6" t="str">
        <f>IF(H1248&lt;=12,"有效","无效")</f>
        <v>有效</v>
      </c>
      <c r="C1248" s="34" t="s">
        <v>2049</v>
      </c>
      <c r="D1248" s="35"/>
      <c r="E1248" s="35"/>
      <c r="F1248" s="35"/>
      <c r="G1248" s="36"/>
      <c r="H1248" s="4">
        <f>LEN(C1248)</f>
        <v>11</v>
      </c>
      <c r="I1248" s="11">
        <f>MOD(H1248,2)*4+FLOOR(H1248/2,1)*6</f>
        <v>34</v>
      </c>
      <c r="J1248" s="12">
        <f>I1248+I1249</f>
        <v>64</v>
      </c>
      <c r="K1248" s="20"/>
      <c r="L1248" s="13" t="str">
        <f>IF(R1248&lt;=12,"有效","无效")</f>
        <v>有效</v>
      </c>
      <c r="M1248" s="32" t="s">
        <v>2385</v>
      </c>
      <c r="N1248" s="32"/>
      <c r="O1248" s="32"/>
      <c r="P1248" s="32"/>
      <c r="Q1248" s="33"/>
      <c r="R1248" s="10">
        <f>LEN(M1248)</f>
        <v>7</v>
      </c>
      <c r="S1248" s="10">
        <f>MOD(R1248,2)*4+FLOOR(R1248/2,1)*6</f>
        <v>22</v>
      </c>
      <c r="T1248" s="12">
        <f>S1248+S1249</f>
        <v>34</v>
      </c>
    </row>
    <row r="1249" spans="1:20" ht="20" customHeight="1">
      <c r="A1249" s="22"/>
      <c r="B1249" s="6" t="str">
        <f>IF(H1249&lt;=12,"有效","无效")</f>
        <v>有效</v>
      </c>
      <c r="C1249" s="34" t="s">
        <v>2050</v>
      </c>
      <c r="D1249" s="35"/>
      <c r="E1249" s="35"/>
      <c r="F1249" s="35"/>
      <c r="G1249" s="36"/>
      <c r="H1249" s="4">
        <f>LEN(C1249)</f>
        <v>10</v>
      </c>
      <c r="I1249" s="11">
        <f>MOD(H1249,2)*4+FLOOR(H1249/2,1)*6</f>
        <v>30</v>
      </c>
      <c r="J1249" s="12" t="str">
        <f>IF(J1248&lt;I1247,"有效","无效")</f>
        <v>有效</v>
      </c>
      <c r="K1249" s="20"/>
      <c r="L1249" s="6" t="str">
        <f>IF(R1249&lt;=12,"有效","无效")</f>
        <v>有效</v>
      </c>
      <c r="M1249" s="31" t="s">
        <v>2100</v>
      </c>
      <c r="N1249" s="32"/>
      <c r="O1249" s="32"/>
      <c r="P1249" s="32"/>
      <c r="Q1249" s="33"/>
      <c r="R1249" s="10">
        <f>LEN(M1249)</f>
        <v>4</v>
      </c>
      <c r="S1249" s="10">
        <f>MOD(R1249,2)*4+FLOOR(R1249/2,1)*6</f>
        <v>12</v>
      </c>
      <c r="T1249" s="12" t="str">
        <f>IF(T1248&lt;I1247,"有效","无效")</f>
        <v>有效</v>
      </c>
    </row>
    <row r="1250" spans="1:20" ht="20" customHeight="1">
      <c r="A1250" s="22"/>
      <c r="B1250" s="6" t="str">
        <f>IF(H1250&lt;=12,"有效","无效")</f>
        <v>有效</v>
      </c>
      <c r="C1250" s="34" t="s">
        <v>2052</v>
      </c>
      <c r="D1250" s="35"/>
      <c r="E1250" s="35"/>
      <c r="F1250" s="35"/>
      <c r="G1250" s="36"/>
      <c r="H1250" s="4">
        <f>LEN(C1250)</f>
        <v>6</v>
      </c>
      <c r="I1250" s="11">
        <f>MOD(H1250,2)*4+FLOOR(H1250/2,1)*6</f>
        <v>18</v>
      </c>
      <c r="J1250" s="12">
        <f>I1250+I1251</f>
        <v>42</v>
      </c>
      <c r="K1250" s="20"/>
      <c r="L1250" s="6" t="str">
        <f>IF(R1250&lt;=12,"有效","无效")</f>
        <v>有效</v>
      </c>
      <c r="M1250" s="31" t="s">
        <v>2384</v>
      </c>
      <c r="N1250" s="32"/>
      <c r="O1250" s="32"/>
      <c r="P1250" s="32"/>
      <c r="Q1250" s="37"/>
      <c r="R1250" s="10">
        <f>LEN(M1250)</f>
        <v>12</v>
      </c>
      <c r="S1250" s="10">
        <f>MOD(R1250,2)*4+FLOOR(R1250/2,1)*6</f>
        <v>36</v>
      </c>
      <c r="T1250" s="12">
        <f>S1250+S1251</f>
        <v>70</v>
      </c>
    </row>
    <row r="1251" spans="1:20" ht="20" customHeight="1">
      <c r="A1251" s="22"/>
      <c r="B1251" s="6" t="str">
        <f>IF(H1251&lt;=12,"有效","无效")</f>
        <v>有效</v>
      </c>
      <c r="C1251" s="34" t="s">
        <v>2051</v>
      </c>
      <c r="D1251" s="35"/>
      <c r="E1251" s="35"/>
      <c r="F1251" s="35"/>
      <c r="G1251" s="36"/>
      <c r="H1251" s="4">
        <f>LEN(C1251)</f>
        <v>8</v>
      </c>
      <c r="I1251" s="11">
        <f>MOD(H1251,2)*4+FLOOR(H1251/2,1)*6</f>
        <v>24</v>
      </c>
      <c r="J1251" s="12" t="str">
        <f>IF(J1250&lt;I1247,"有效","无效")</f>
        <v>有效</v>
      </c>
      <c r="K1251" s="20"/>
      <c r="L1251" s="6" t="str">
        <f>IF(R1251&lt;=12,"有效","无效")</f>
        <v>有效</v>
      </c>
      <c r="M1251" s="31" t="s">
        <v>2053</v>
      </c>
      <c r="N1251" s="32"/>
      <c r="O1251" s="32"/>
      <c r="P1251" s="32"/>
      <c r="Q1251" s="33"/>
      <c r="R1251" s="10">
        <f>LEN(M1251)</f>
        <v>11</v>
      </c>
      <c r="S1251" s="10">
        <f>MOD(R1251,2)*4+FLOOR(R1251/2,1)*6</f>
        <v>34</v>
      </c>
      <c r="T1251" s="12" t="str">
        <f>IF(T1250&lt;I1247,"有效","无效")</f>
        <v>有效</v>
      </c>
    </row>
    <row r="1252" spans="1:20" ht="20" customHeight="1">
      <c r="A1252" s="22">
        <v>251</v>
      </c>
      <c r="B1252" s="23" t="s">
        <v>412</v>
      </c>
      <c r="C1252" s="24" t="s">
        <v>413</v>
      </c>
      <c r="D1252" s="14">
        <f>LEN($B1252)</f>
        <v>3</v>
      </c>
      <c r="E1252" s="14">
        <f>LEN(C1252)+3</f>
        <v>7</v>
      </c>
      <c r="F1252" s="14">
        <f>MOD(D1252,2)*4+FLOOR(D1252/2,1)*6</f>
        <v>10</v>
      </c>
      <c r="G1252" s="14">
        <f>MOD(E1252,2)*4+FLOOR(E1252/2,1)*6</f>
        <v>22</v>
      </c>
      <c r="H1252" s="14">
        <v>12</v>
      </c>
      <c r="I1252" s="14">
        <f>108-H1252-G1252-F1252</f>
        <v>64</v>
      </c>
    </row>
    <row r="1253" spans="1:20" ht="20" customHeight="1">
      <c r="A1253" s="22"/>
      <c r="B1253" s="6" t="str">
        <f>IF(H1253&lt;=12,"有效","无效")</f>
        <v>有效</v>
      </c>
      <c r="C1253" s="31" t="s">
        <v>2054</v>
      </c>
      <c r="D1253" s="32"/>
      <c r="E1253" s="32"/>
      <c r="F1253" s="32"/>
      <c r="G1253" s="33"/>
      <c r="H1253" s="4">
        <f>LEN(C1253)</f>
        <v>11</v>
      </c>
      <c r="I1253" s="11">
        <f>MOD(H1253,2)*4+FLOOR(H1253/2,1)*6</f>
        <v>34</v>
      </c>
      <c r="J1253" s="12">
        <f>I1253+I1254</f>
        <v>52</v>
      </c>
      <c r="K1253" s="20"/>
      <c r="L1253" s="13" t="str">
        <f>IF(R1253&lt;=12,"有效","无效")</f>
        <v>有效</v>
      </c>
      <c r="M1253" s="35" t="s">
        <v>2058</v>
      </c>
      <c r="N1253" s="35"/>
      <c r="O1253" s="35"/>
      <c r="P1253" s="35"/>
      <c r="Q1253" s="36"/>
      <c r="R1253" s="10">
        <f>LEN(M1253)</f>
        <v>9</v>
      </c>
      <c r="S1253" s="10">
        <f>MOD(R1253,2)*4+FLOOR(R1253/2,1)*6</f>
        <v>28</v>
      </c>
      <c r="T1253" s="12">
        <f>S1253+S1254</f>
        <v>62</v>
      </c>
    </row>
    <row r="1254" spans="1:20" ht="20" customHeight="1">
      <c r="A1254" s="22"/>
      <c r="B1254" s="6" t="str">
        <f>IF(H1254&lt;=12,"有效","无效")</f>
        <v>有效</v>
      </c>
      <c r="C1254" s="31" t="s">
        <v>2055</v>
      </c>
      <c r="D1254" s="32"/>
      <c r="E1254" s="32"/>
      <c r="F1254" s="32"/>
      <c r="G1254" s="33"/>
      <c r="H1254" s="4">
        <f>LEN(C1254)</f>
        <v>6</v>
      </c>
      <c r="I1254" s="11">
        <f>MOD(H1254,2)*4+FLOOR(H1254/2,1)*6</f>
        <v>18</v>
      </c>
      <c r="J1254" s="12" t="str">
        <f>IF(J1253&lt;I1252,"有效","无效")</f>
        <v>有效</v>
      </c>
      <c r="K1254" s="20"/>
      <c r="L1254" s="6" t="str">
        <f>IF(R1254&lt;=12,"有效","无效")</f>
        <v>有效</v>
      </c>
      <c r="M1254" s="34" t="s">
        <v>2386</v>
      </c>
      <c r="N1254" s="35"/>
      <c r="O1254" s="35"/>
      <c r="P1254" s="35"/>
      <c r="Q1254" s="36"/>
      <c r="R1254" s="10">
        <f>LEN(M1254)</f>
        <v>11</v>
      </c>
      <c r="S1254" s="10">
        <f>MOD(R1254,2)*4+FLOOR(R1254/2,1)*6</f>
        <v>34</v>
      </c>
      <c r="T1254" s="12" t="str">
        <f>IF(T1253&lt;I1252,"有效","无效")</f>
        <v>有效</v>
      </c>
    </row>
    <row r="1255" spans="1:20" ht="20" customHeight="1">
      <c r="A1255" s="22"/>
      <c r="B1255" s="6" t="str">
        <f>IF(H1255&lt;=12,"有效","无效")</f>
        <v>有效</v>
      </c>
      <c r="C1255" s="31" t="s">
        <v>2056</v>
      </c>
      <c r="D1255" s="32"/>
      <c r="E1255" s="32"/>
      <c r="F1255" s="32"/>
      <c r="G1255" s="33"/>
      <c r="H1255" s="4">
        <f>LEN(C1255)</f>
        <v>8</v>
      </c>
      <c r="I1255" s="11">
        <f>MOD(H1255,2)*4+FLOOR(H1255/2,1)*6</f>
        <v>24</v>
      </c>
      <c r="J1255" s="12">
        <f>I1255+I1256</f>
        <v>58</v>
      </c>
      <c r="K1255" s="20"/>
      <c r="L1255" s="6" t="str">
        <f>IF(R1255&lt;=12,"有效","无效")</f>
        <v>有效</v>
      </c>
      <c r="M1255" s="34" t="s">
        <v>2388</v>
      </c>
      <c r="N1255" s="35"/>
      <c r="O1255" s="35"/>
      <c r="P1255" s="35"/>
      <c r="Q1255" s="36"/>
      <c r="R1255" s="10">
        <f>LEN(M1255)</f>
        <v>4</v>
      </c>
      <c r="S1255" s="10">
        <f>MOD(R1255,2)*4+FLOOR(R1255/2,1)*6</f>
        <v>12</v>
      </c>
      <c r="T1255" s="12">
        <f>S1255+S1256</f>
        <v>34</v>
      </c>
    </row>
    <row r="1256" spans="1:20" ht="20" customHeight="1">
      <c r="A1256" s="22"/>
      <c r="B1256" s="6" t="str">
        <f>IF(H1256&lt;=12,"有效","无效")</f>
        <v>有效</v>
      </c>
      <c r="C1256" s="31" t="s">
        <v>2057</v>
      </c>
      <c r="D1256" s="32"/>
      <c r="E1256" s="32"/>
      <c r="F1256" s="32"/>
      <c r="G1256" s="33"/>
      <c r="H1256" s="4">
        <f>LEN(C1256)</f>
        <v>11</v>
      </c>
      <c r="I1256" s="11">
        <f>MOD(H1256,2)*4+FLOOR(H1256/2,1)*6</f>
        <v>34</v>
      </c>
      <c r="J1256" s="12" t="str">
        <f>IF(J1255&lt;I1252,"有效","无效")</f>
        <v>有效</v>
      </c>
      <c r="K1256" s="20"/>
      <c r="L1256" s="6" t="str">
        <f>IF(R1256&lt;=12,"有效","无效")</f>
        <v>有效</v>
      </c>
      <c r="M1256" s="34" t="s">
        <v>2387</v>
      </c>
      <c r="N1256" s="35"/>
      <c r="O1256" s="35"/>
      <c r="P1256" s="35"/>
      <c r="Q1256" s="36"/>
      <c r="R1256" s="10">
        <f>LEN(M1256)</f>
        <v>7</v>
      </c>
      <c r="S1256" s="10">
        <f>MOD(R1256,2)*4+FLOOR(R1256/2,1)*6</f>
        <v>22</v>
      </c>
      <c r="T1256" s="12" t="str">
        <f>IF(T1255&lt;I1252,"有效","无效")</f>
        <v>有效</v>
      </c>
    </row>
  </sheetData>
  <mergeCells count="2008">
    <mergeCell ref="C9:G9"/>
    <mergeCell ref="M9:Q9"/>
    <mergeCell ref="C10:G10"/>
    <mergeCell ref="M10:Q10"/>
    <mergeCell ref="C11:G11"/>
    <mergeCell ref="M11:Q11"/>
    <mergeCell ref="M3:Q3"/>
    <mergeCell ref="M4:Q4"/>
    <mergeCell ref="M5:Q5"/>
    <mergeCell ref="M6:Q6"/>
    <mergeCell ref="C8:G8"/>
    <mergeCell ref="M8:Q8"/>
    <mergeCell ref="C3:G3"/>
    <mergeCell ref="C4:G4"/>
    <mergeCell ref="C5:G5"/>
    <mergeCell ref="C6:G6"/>
    <mergeCell ref="C20:G20"/>
    <mergeCell ref="M20:Q20"/>
    <mergeCell ref="C21:G21"/>
    <mergeCell ref="M21:Q21"/>
    <mergeCell ref="C23:G23"/>
    <mergeCell ref="M23:Q23"/>
    <mergeCell ref="C16:G16"/>
    <mergeCell ref="M16:Q16"/>
    <mergeCell ref="C18:G18"/>
    <mergeCell ref="M18:Q18"/>
    <mergeCell ref="C19:G19"/>
    <mergeCell ref="M19:Q19"/>
    <mergeCell ref="C13:G13"/>
    <mergeCell ref="M13:Q13"/>
    <mergeCell ref="C14:G14"/>
    <mergeCell ref="M14:Q14"/>
    <mergeCell ref="C15:G15"/>
    <mergeCell ref="M15:Q15"/>
    <mergeCell ref="C31:G31"/>
    <mergeCell ref="M31:Q31"/>
    <mergeCell ref="C33:G33"/>
    <mergeCell ref="M33:Q33"/>
    <mergeCell ref="C34:G34"/>
    <mergeCell ref="M34:Q34"/>
    <mergeCell ref="C28:G28"/>
    <mergeCell ref="M28:Q28"/>
    <mergeCell ref="C29:G29"/>
    <mergeCell ref="M29:Q29"/>
    <mergeCell ref="C30:G30"/>
    <mergeCell ref="M30:Q30"/>
    <mergeCell ref="C24:G24"/>
    <mergeCell ref="M24:Q24"/>
    <mergeCell ref="C25:G25"/>
    <mergeCell ref="M25:Q25"/>
    <mergeCell ref="C26:G26"/>
    <mergeCell ref="M26:Q26"/>
    <mergeCell ref="C43:G43"/>
    <mergeCell ref="M43:Q43"/>
    <mergeCell ref="C44:G44"/>
    <mergeCell ref="M44:Q44"/>
    <mergeCell ref="C45:G45"/>
    <mergeCell ref="M45:Q45"/>
    <mergeCell ref="C39:G39"/>
    <mergeCell ref="M39:Q39"/>
    <mergeCell ref="C40:G40"/>
    <mergeCell ref="M40:Q40"/>
    <mergeCell ref="C41:G41"/>
    <mergeCell ref="M41:Q41"/>
    <mergeCell ref="C35:G35"/>
    <mergeCell ref="M35:Q35"/>
    <mergeCell ref="C36:G36"/>
    <mergeCell ref="M36:Q36"/>
    <mergeCell ref="C38:G38"/>
    <mergeCell ref="M38:Q38"/>
    <mergeCell ref="C54:G54"/>
    <mergeCell ref="M54:Q54"/>
    <mergeCell ref="C55:G55"/>
    <mergeCell ref="M55:Q55"/>
    <mergeCell ref="C56:G56"/>
    <mergeCell ref="M56:Q56"/>
    <mergeCell ref="C50:G50"/>
    <mergeCell ref="M50:Q50"/>
    <mergeCell ref="C51:G51"/>
    <mergeCell ref="M51:Q51"/>
    <mergeCell ref="C53:G53"/>
    <mergeCell ref="M53:Q53"/>
    <mergeCell ref="C46:G46"/>
    <mergeCell ref="M46:Q46"/>
    <mergeCell ref="C48:G48"/>
    <mergeCell ref="M48:Q48"/>
    <mergeCell ref="C49:G49"/>
    <mergeCell ref="M49:Q49"/>
    <mergeCell ref="C65:G65"/>
    <mergeCell ref="M65:Q65"/>
    <mergeCell ref="C66:G66"/>
    <mergeCell ref="M66:Q66"/>
    <mergeCell ref="C68:G68"/>
    <mergeCell ref="M68:Q68"/>
    <mergeCell ref="C61:G61"/>
    <mergeCell ref="M61:Q61"/>
    <mergeCell ref="C63:G63"/>
    <mergeCell ref="M63:Q63"/>
    <mergeCell ref="C64:G64"/>
    <mergeCell ref="M64:Q64"/>
    <mergeCell ref="C58:G58"/>
    <mergeCell ref="M58:Q58"/>
    <mergeCell ref="C59:G59"/>
    <mergeCell ref="M59:Q59"/>
    <mergeCell ref="C60:G60"/>
    <mergeCell ref="M60:Q60"/>
    <mergeCell ref="C76:G76"/>
    <mergeCell ref="M76:Q76"/>
    <mergeCell ref="C78:G78"/>
    <mergeCell ref="M78:Q78"/>
    <mergeCell ref="C79:G79"/>
    <mergeCell ref="M79:Q79"/>
    <mergeCell ref="C73:G73"/>
    <mergeCell ref="M73:Q73"/>
    <mergeCell ref="C74:G74"/>
    <mergeCell ref="M74:Q74"/>
    <mergeCell ref="C75:G75"/>
    <mergeCell ref="M75:Q75"/>
    <mergeCell ref="C69:G69"/>
    <mergeCell ref="M69:Q69"/>
    <mergeCell ref="C70:G70"/>
    <mergeCell ref="M70:Q70"/>
    <mergeCell ref="C71:G71"/>
    <mergeCell ref="M71:Q71"/>
    <mergeCell ref="C88:G88"/>
    <mergeCell ref="M88:Q88"/>
    <mergeCell ref="C89:G89"/>
    <mergeCell ref="M89:Q89"/>
    <mergeCell ref="C90:G90"/>
    <mergeCell ref="M90:Q90"/>
    <mergeCell ref="C84:G84"/>
    <mergeCell ref="M84:Q84"/>
    <mergeCell ref="C85:G85"/>
    <mergeCell ref="M85:Q85"/>
    <mergeCell ref="C86:G86"/>
    <mergeCell ref="M86:Q86"/>
    <mergeCell ref="C80:G80"/>
    <mergeCell ref="M80:Q80"/>
    <mergeCell ref="C81:G81"/>
    <mergeCell ref="M81:Q81"/>
    <mergeCell ref="C83:G83"/>
    <mergeCell ref="M83:Q83"/>
    <mergeCell ref="C101:G101"/>
    <mergeCell ref="M101:Q101"/>
    <mergeCell ref="C103:G103"/>
    <mergeCell ref="M103:Q103"/>
    <mergeCell ref="C104:G104"/>
    <mergeCell ref="M104:Q104"/>
    <mergeCell ref="C98:G98"/>
    <mergeCell ref="M98:Q98"/>
    <mergeCell ref="C99:G99"/>
    <mergeCell ref="M99:Q99"/>
    <mergeCell ref="C100:G100"/>
    <mergeCell ref="M100:Q100"/>
    <mergeCell ref="C95:G95"/>
    <mergeCell ref="M95:Q95"/>
    <mergeCell ref="C96:G96"/>
    <mergeCell ref="M96:Q96"/>
    <mergeCell ref="C91:G91"/>
    <mergeCell ref="M91:Q91"/>
    <mergeCell ref="C93:G93"/>
    <mergeCell ref="M93:Q93"/>
    <mergeCell ref="C94:G94"/>
    <mergeCell ref="M94:Q94"/>
    <mergeCell ref="C113:G113"/>
    <mergeCell ref="M113:Q113"/>
    <mergeCell ref="C114:G114"/>
    <mergeCell ref="M114:Q114"/>
    <mergeCell ref="C115:G115"/>
    <mergeCell ref="M115:Q115"/>
    <mergeCell ref="C109:G109"/>
    <mergeCell ref="M109:Q109"/>
    <mergeCell ref="C110:G110"/>
    <mergeCell ref="M110:Q110"/>
    <mergeCell ref="C111:G111"/>
    <mergeCell ref="M111:Q111"/>
    <mergeCell ref="C105:G105"/>
    <mergeCell ref="M105:Q105"/>
    <mergeCell ref="C106:G106"/>
    <mergeCell ref="M106:Q106"/>
    <mergeCell ref="C108:G108"/>
    <mergeCell ref="M108:Q108"/>
    <mergeCell ref="C124:G124"/>
    <mergeCell ref="M124:Q124"/>
    <mergeCell ref="C125:G125"/>
    <mergeCell ref="M125:Q125"/>
    <mergeCell ref="C126:G126"/>
    <mergeCell ref="M126:Q126"/>
    <mergeCell ref="C120:G120"/>
    <mergeCell ref="M120:Q120"/>
    <mergeCell ref="C121:G121"/>
    <mergeCell ref="M121:Q121"/>
    <mergeCell ref="C123:G123"/>
    <mergeCell ref="M123:Q123"/>
    <mergeCell ref="C116:G116"/>
    <mergeCell ref="M116:Q116"/>
    <mergeCell ref="C118:G118"/>
    <mergeCell ref="M118:Q118"/>
    <mergeCell ref="C119:G119"/>
    <mergeCell ref="M119:Q119"/>
    <mergeCell ref="C135:G135"/>
    <mergeCell ref="M135:Q135"/>
    <mergeCell ref="C136:G136"/>
    <mergeCell ref="M136:Q136"/>
    <mergeCell ref="C138:G138"/>
    <mergeCell ref="M138:Q138"/>
    <mergeCell ref="C131:G131"/>
    <mergeCell ref="M131:Q131"/>
    <mergeCell ref="C133:G133"/>
    <mergeCell ref="M133:Q133"/>
    <mergeCell ref="C134:G134"/>
    <mergeCell ref="M134:Q134"/>
    <mergeCell ref="C128:G128"/>
    <mergeCell ref="M128:Q128"/>
    <mergeCell ref="C129:G129"/>
    <mergeCell ref="M129:Q129"/>
    <mergeCell ref="C130:G130"/>
    <mergeCell ref="M130:Q130"/>
    <mergeCell ref="C146:G146"/>
    <mergeCell ref="M146:Q146"/>
    <mergeCell ref="C148:G148"/>
    <mergeCell ref="M148:Q148"/>
    <mergeCell ref="C149:G149"/>
    <mergeCell ref="M149:Q149"/>
    <mergeCell ref="C143:G143"/>
    <mergeCell ref="M143:Q143"/>
    <mergeCell ref="C144:G144"/>
    <mergeCell ref="M144:Q144"/>
    <mergeCell ref="C145:G145"/>
    <mergeCell ref="M145:Q145"/>
    <mergeCell ref="C139:G139"/>
    <mergeCell ref="M139:Q139"/>
    <mergeCell ref="C140:G140"/>
    <mergeCell ref="M140:Q140"/>
    <mergeCell ref="C141:G141"/>
    <mergeCell ref="M141:Q141"/>
    <mergeCell ref="C158:G158"/>
    <mergeCell ref="M158:Q158"/>
    <mergeCell ref="C159:G159"/>
    <mergeCell ref="M159:Q159"/>
    <mergeCell ref="C160:G160"/>
    <mergeCell ref="M160:Q160"/>
    <mergeCell ref="C154:G154"/>
    <mergeCell ref="M154:Q154"/>
    <mergeCell ref="C155:G155"/>
    <mergeCell ref="M155:Q155"/>
    <mergeCell ref="C156:G156"/>
    <mergeCell ref="M156:Q156"/>
    <mergeCell ref="C150:G150"/>
    <mergeCell ref="M150:Q150"/>
    <mergeCell ref="C151:G151"/>
    <mergeCell ref="M151:Q151"/>
    <mergeCell ref="C153:G153"/>
    <mergeCell ref="M153:Q153"/>
    <mergeCell ref="C169:G169"/>
    <mergeCell ref="M169:Q169"/>
    <mergeCell ref="C170:G170"/>
    <mergeCell ref="M170:Q170"/>
    <mergeCell ref="C171:G171"/>
    <mergeCell ref="M171:Q171"/>
    <mergeCell ref="C165:G165"/>
    <mergeCell ref="M165:Q165"/>
    <mergeCell ref="C166:G166"/>
    <mergeCell ref="M166:Q166"/>
    <mergeCell ref="C168:G168"/>
    <mergeCell ref="M168:Q168"/>
    <mergeCell ref="C161:G161"/>
    <mergeCell ref="M161:Q161"/>
    <mergeCell ref="C163:G163"/>
    <mergeCell ref="M163:Q163"/>
    <mergeCell ref="C164:G164"/>
    <mergeCell ref="M164:Q164"/>
    <mergeCell ref="C180:G180"/>
    <mergeCell ref="M180:Q180"/>
    <mergeCell ref="C181:G181"/>
    <mergeCell ref="M181:Q181"/>
    <mergeCell ref="C183:G183"/>
    <mergeCell ref="M183:Q183"/>
    <mergeCell ref="C176:G176"/>
    <mergeCell ref="M176:Q176"/>
    <mergeCell ref="C178:G178"/>
    <mergeCell ref="M178:Q178"/>
    <mergeCell ref="C179:G179"/>
    <mergeCell ref="M179:Q179"/>
    <mergeCell ref="C173:G173"/>
    <mergeCell ref="M173:Q173"/>
    <mergeCell ref="C174:G174"/>
    <mergeCell ref="M174:Q174"/>
    <mergeCell ref="C175:G175"/>
    <mergeCell ref="M175:Q175"/>
    <mergeCell ref="C191:G191"/>
    <mergeCell ref="M191:Q191"/>
    <mergeCell ref="C193:G193"/>
    <mergeCell ref="M193:Q193"/>
    <mergeCell ref="C194:G194"/>
    <mergeCell ref="M194:Q194"/>
    <mergeCell ref="C188:G188"/>
    <mergeCell ref="M188:Q188"/>
    <mergeCell ref="C189:G189"/>
    <mergeCell ref="M189:Q189"/>
    <mergeCell ref="C190:G190"/>
    <mergeCell ref="M190:Q190"/>
    <mergeCell ref="C184:G184"/>
    <mergeCell ref="M184:Q184"/>
    <mergeCell ref="C185:G185"/>
    <mergeCell ref="M185:Q185"/>
    <mergeCell ref="C186:G186"/>
    <mergeCell ref="M186:Q186"/>
    <mergeCell ref="C203:G203"/>
    <mergeCell ref="M203:Q203"/>
    <mergeCell ref="C204:G204"/>
    <mergeCell ref="M204:Q204"/>
    <mergeCell ref="C205:G205"/>
    <mergeCell ref="M205:Q205"/>
    <mergeCell ref="C199:G199"/>
    <mergeCell ref="M199:Q199"/>
    <mergeCell ref="C200:G200"/>
    <mergeCell ref="M200:Q200"/>
    <mergeCell ref="C201:G201"/>
    <mergeCell ref="M201:Q201"/>
    <mergeCell ref="C195:G195"/>
    <mergeCell ref="M195:Q195"/>
    <mergeCell ref="C196:G196"/>
    <mergeCell ref="M196:Q196"/>
    <mergeCell ref="C198:G198"/>
    <mergeCell ref="M198:Q198"/>
    <mergeCell ref="C214:G214"/>
    <mergeCell ref="M214:Q214"/>
    <mergeCell ref="C215:G215"/>
    <mergeCell ref="M215:Q215"/>
    <mergeCell ref="C216:G216"/>
    <mergeCell ref="M216:Q216"/>
    <mergeCell ref="C210:G210"/>
    <mergeCell ref="M210:Q210"/>
    <mergeCell ref="C211:G211"/>
    <mergeCell ref="M211:Q211"/>
    <mergeCell ref="C213:G213"/>
    <mergeCell ref="M213:Q213"/>
    <mergeCell ref="C206:G206"/>
    <mergeCell ref="M206:Q206"/>
    <mergeCell ref="C208:G208"/>
    <mergeCell ref="M208:Q208"/>
    <mergeCell ref="C209:G209"/>
    <mergeCell ref="M209:Q209"/>
    <mergeCell ref="C225:G225"/>
    <mergeCell ref="M225:Q225"/>
    <mergeCell ref="C226:G226"/>
    <mergeCell ref="M226:Q226"/>
    <mergeCell ref="C228:G228"/>
    <mergeCell ref="M228:Q228"/>
    <mergeCell ref="C221:G221"/>
    <mergeCell ref="M221:Q221"/>
    <mergeCell ref="C223:G223"/>
    <mergeCell ref="M223:Q223"/>
    <mergeCell ref="C224:G224"/>
    <mergeCell ref="M224:Q224"/>
    <mergeCell ref="C218:G218"/>
    <mergeCell ref="M218:Q218"/>
    <mergeCell ref="C219:G219"/>
    <mergeCell ref="M219:Q219"/>
    <mergeCell ref="C220:G220"/>
    <mergeCell ref="M220:Q220"/>
    <mergeCell ref="C236:G236"/>
    <mergeCell ref="M236:Q236"/>
    <mergeCell ref="C238:G238"/>
    <mergeCell ref="M238:Q238"/>
    <mergeCell ref="C239:G239"/>
    <mergeCell ref="M239:Q239"/>
    <mergeCell ref="C233:G233"/>
    <mergeCell ref="M233:Q233"/>
    <mergeCell ref="C234:G234"/>
    <mergeCell ref="M234:Q234"/>
    <mergeCell ref="C235:G235"/>
    <mergeCell ref="M235:Q235"/>
    <mergeCell ref="C229:G229"/>
    <mergeCell ref="M229:Q229"/>
    <mergeCell ref="C230:G230"/>
    <mergeCell ref="M230:Q230"/>
    <mergeCell ref="C231:G231"/>
    <mergeCell ref="M231:Q231"/>
    <mergeCell ref="C248:G248"/>
    <mergeCell ref="M248:Q248"/>
    <mergeCell ref="C249:G249"/>
    <mergeCell ref="M249:Q249"/>
    <mergeCell ref="C250:G250"/>
    <mergeCell ref="M250:Q250"/>
    <mergeCell ref="C244:G244"/>
    <mergeCell ref="M244:Q244"/>
    <mergeCell ref="C245:G245"/>
    <mergeCell ref="M245:Q245"/>
    <mergeCell ref="C246:G246"/>
    <mergeCell ref="M246:Q246"/>
    <mergeCell ref="C240:G240"/>
    <mergeCell ref="M240:Q240"/>
    <mergeCell ref="C241:G241"/>
    <mergeCell ref="M241:Q241"/>
    <mergeCell ref="C243:G243"/>
    <mergeCell ref="M243:Q243"/>
    <mergeCell ref="C259:G259"/>
    <mergeCell ref="M259:Q259"/>
    <mergeCell ref="C260:G260"/>
    <mergeCell ref="M260:Q260"/>
    <mergeCell ref="C261:G261"/>
    <mergeCell ref="M261:Q261"/>
    <mergeCell ref="C255:G255"/>
    <mergeCell ref="M255:Q255"/>
    <mergeCell ref="C256:G256"/>
    <mergeCell ref="M256:Q256"/>
    <mergeCell ref="C258:G258"/>
    <mergeCell ref="M258:Q258"/>
    <mergeCell ref="C251:G251"/>
    <mergeCell ref="M251:Q251"/>
    <mergeCell ref="C253:G253"/>
    <mergeCell ref="M253:Q253"/>
    <mergeCell ref="C254:G254"/>
    <mergeCell ref="M254:Q254"/>
    <mergeCell ref="C270:G270"/>
    <mergeCell ref="M270:Q270"/>
    <mergeCell ref="C271:G271"/>
    <mergeCell ref="M271:Q271"/>
    <mergeCell ref="C273:G273"/>
    <mergeCell ref="M273:Q273"/>
    <mergeCell ref="C266:G266"/>
    <mergeCell ref="M266:Q266"/>
    <mergeCell ref="C268:G268"/>
    <mergeCell ref="M268:Q268"/>
    <mergeCell ref="C269:G269"/>
    <mergeCell ref="M269:Q269"/>
    <mergeCell ref="C263:G263"/>
    <mergeCell ref="M263:Q263"/>
    <mergeCell ref="C264:G264"/>
    <mergeCell ref="M264:Q264"/>
    <mergeCell ref="C265:G265"/>
    <mergeCell ref="M265:Q265"/>
    <mergeCell ref="C281:G281"/>
    <mergeCell ref="M281:Q281"/>
    <mergeCell ref="C283:G283"/>
    <mergeCell ref="M283:Q283"/>
    <mergeCell ref="C284:G284"/>
    <mergeCell ref="M284:Q284"/>
    <mergeCell ref="C278:G278"/>
    <mergeCell ref="M278:Q278"/>
    <mergeCell ref="C279:G279"/>
    <mergeCell ref="M279:Q279"/>
    <mergeCell ref="C280:G280"/>
    <mergeCell ref="M280:Q280"/>
    <mergeCell ref="C274:G274"/>
    <mergeCell ref="M274:Q274"/>
    <mergeCell ref="C275:G275"/>
    <mergeCell ref="M275:Q275"/>
    <mergeCell ref="C276:G276"/>
    <mergeCell ref="M276:Q276"/>
    <mergeCell ref="C293:G293"/>
    <mergeCell ref="M293:Q293"/>
    <mergeCell ref="C294:G294"/>
    <mergeCell ref="M294:Q294"/>
    <mergeCell ref="C295:G295"/>
    <mergeCell ref="M295:Q295"/>
    <mergeCell ref="C289:G289"/>
    <mergeCell ref="M289:Q289"/>
    <mergeCell ref="C290:G290"/>
    <mergeCell ref="M290:Q290"/>
    <mergeCell ref="C291:G291"/>
    <mergeCell ref="M291:Q291"/>
    <mergeCell ref="C285:G285"/>
    <mergeCell ref="M285:Q285"/>
    <mergeCell ref="C286:G286"/>
    <mergeCell ref="M286:Q286"/>
    <mergeCell ref="C288:G288"/>
    <mergeCell ref="M288:Q288"/>
    <mergeCell ref="C304:G304"/>
    <mergeCell ref="M304:Q304"/>
    <mergeCell ref="C305:G305"/>
    <mergeCell ref="M305:Q305"/>
    <mergeCell ref="C306:G306"/>
    <mergeCell ref="M306:Q306"/>
    <mergeCell ref="C300:G300"/>
    <mergeCell ref="M300:Q300"/>
    <mergeCell ref="C301:G301"/>
    <mergeCell ref="M301:Q301"/>
    <mergeCell ref="C303:G303"/>
    <mergeCell ref="M303:Q303"/>
    <mergeCell ref="C296:G296"/>
    <mergeCell ref="M296:Q296"/>
    <mergeCell ref="C298:G298"/>
    <mergeCell ref="M298:Q298"/>
    <mergeCell ref="C299:G299"/>
    <mergeCell ref="M299:Q299"/>
    <mergeCell ref="C315:G315"/>
    <mergeCell ref="M315:Q315"/>
    <mergeCell ref="C316:G316"/>
    <mergeCell ref="M316:Q316"/>
    <mergeCell ref="C318:G318"/>
    <mergeCell ref="M318:Q318"/>
    <mergeCell ref="C311:G311"/>
    <mergeCell ref="M311:Q311"/>
    <mergeCell ref="C313:G313"/>
    <mergeCell ref="M313:Q313"/>
    <mergeCell ref="C314:G314"/>
    <mergeCell ref="M314:Q314"/>
    <mergeCell ref="C308:G308"/>
    <mergeCell ref="M308:Q308"/>
    <mergeCell ref="C309:G309"/>
    <mergeCell ref="M309:Q309"/>
    <mergeCell ref="C310:G310"/>
    <mergeCell ref="M310:Q310"/>
    <mergeCell ref="C326:G326"/>
    <mergeCell ref="M326:Q326"/>
    <mergeCell ref="C328:G328"/>
    <mergeCell ref="M328:Q328"/>
    <mergeCell ref="C329:G329"/>
    <mergeCell ref="M329:Q329"/>
    <mergeCell ref="C323:G323"/>
    <mergeCell ref="M323:Q323"/>
    <mergeCell ref="C324:G324"/>
    <mergeCell ref="M324:Q324"/>
    <mergeCell ref="C325:G325"/>
    <mergeCell ref="M325:Q325"/>
    <mergeCell ref="C319:G319"/>
    <mergeCell ref="M319:Q319"/>
    <mergeCell ref="C320:G320"/>
    <mergeCell ref="M320:Q320"/>
    <mergeCell ref="C321:G321"/>
    <mergeCell ref="M321:Q321"/>
    <mergeCell ref="C338:G338"/>
    <mergeCell ref="M338:Q338"/>
    <mergeCell ref="C339:G339"/>
    <mergeCell ref="M339:Q339"/>
    <mergeCell ref="C340:G340"/>
    <mergeCell ref="M340:Q340"/>
    <mergeCell ref="C334:G334"/>
    <mergeCell ref="M334:Q334"/>
    <mergeCell ref="C335:G335"/>
    <mergeCell ref="M335:Q335"/>
    <mergeCell ref="C336:G336"/>
    <mergeCell ref="M336:Q336"/>
    <mergeCell ref="C330:G330"/>
    <mergeCell ref="M330:Q330"/>
    <mergeCell ref="C331:G331"/>
    <mergeCell ref="M331:Q331"/>
    <mergeCell ref="C333:G333"/>
    <mergeCell ref="M333:Q333"/>
    <mergeCell ref="C349:G349"/>
    <mergeCell ref="M349:Q349"/>
    <mergeCell ref="C350:G350"/>
    <mergeCell ref="M350:Q350"/>
    <mergeCell ref="C351:G351"/>
    <mergeCell ref="M351:Q351"/>
    <mergeCell ref="C345:G345"/>
    <mergeCell ref="M345:Q345"/>
    <mergeCell ref="C346:G346"/>
    <mergeCell ref="M346:Q346"/>
    <mergeCell ref="C348:G348"/>
    <mergeCell ref="M348:Q348"/>
    <mergeCell ref="C341:G341"/>
    <mergeCell ref="M341:Q341"/>
    <mergeCell ref="C343:G343"/>
    <mergeCell ref="M343:Q343"/>
    <mergeCell ref="C344:G344"/>
    <mergeCell ref="M344:Q344"/>
    <mergeCell ref="C360:G360"/>
    <mergeCell ref="M360:Q360"/>
    <mergeCell ref="C361:G361"/>
    <mergeCell ref="M361:Q361"/>
    <mergeCell ref="C363:G363"/>
    <mergeCell ref="M363:Q363"/>
    <mergeCell ref="C356:G356"/>
    <mergeCell ref="M356:Q356"/>
    <mergeCell ref="C358:G358"/>
    <mergeCell ref="M358:Q358"/>
    <mergeCell ref="C359:G359"/>
    <mergeCell ref="M359:Q359"/>
    <mergeCell ref="C353:G353"/>
    <mergeCell ref="M353:Q353"/>
    <mergeCell ref="C354:G354"/>
    <mergeCell ref="M354:Q354"/>
    <mergeCell ref="C355:G355"/>
    <mergeCell ref="M355:Q355"/>
    <mergeCell ref="C371:G371"/>
    <mergeCell ref="M371:Q371"/>
    <mergeCell ref="C373:G373"/>
    <mergeCell ref="M373:Q373"/>
    <mergeCell ref="C374:G374"/>
    <mergeCell ref="M374:Q374"/>
    <mergeCell ref="C368:G368"/>
    <mergeCell ref="M368:Q368"/>
    <mergeCell ref="C369:G369"/>
    <mergeCell ref="M369:Q369"/>
    <mergeCell ref="C370:G370"/>
    <mergeCell ref="M370:Q370"/>
    <mergeCell ref="C364:G364"/>
    <mergeCell ref="M364:Q364"/>
    <mergeCell ref="C365:G365"/>
    <mergeCell ref="M365:Q365"/>
    <mergeCell ref="C366:G366"/>
    <mergeCell ref="M366:Q366"/>
    <mergeCell ref="C383:G383"/>
    <mergeCell ref="M383:Q383"/>
    <mergeCell ref="C384:G384"/>
    <mergeCell ref="M384:Q384"/>
    <mergeCell ref="C385:G385"/>
    <mergeCell ref="M385:Q385"/>
    <mergeCell ref="C379:G379"/>
    <mergeCell ref="M379:Q379"/>
    <mergeCell ref="C380:G380"/>
    <mergeCell ref="M380:Q380"/>
    <mergeCell ref="C381:G381"/>
    <mergeCell ref="M381:Q381"/>
    <mergeCell ref="C375:G375"/>
    <mergeCell ref="M375:Q375"/>
    <mergeCell ref="C376:G376"/>
    <mergeCell ref="M376:Q376"/>
    <mergeCell ref="C378:G378"/>
    <mergeCell ref="M378:Q378"/>
    <mergeCell ref="C394:G394"/>
    <mergeCell ref="M394:Q394"/>
    <mergeCell ref="C395:G395"/>
    <mergeCell ref="M395:Q395"/>
    <mergeCell ref="C396:G396"/>
    <mergeCell ref="M396:Q396"/>
    <mergeCell ref="C390:G390"/>
    <mergeCell ref="M390:Q390"/>
    <mergeCell ref="C391:G391"/>
    <mergeCell ref="M391:Q391"/>
    <mergeCell ref="C393:G393"/>
    <mergeCell ref="M393:Q393"/>
    <mergeCell ref="C386:G386"/>
    <mergeCell ref="M386:Q386"/>
    <mergeCell ref="C388:G388"/>
    <mergeCell ref="M388:Q388"/>
    <mergeCell ref="C389:G389"/>
    <mergeCell ref="M389:Q389"/>
    <mergeCell ref="C405:G405"/>
    <mergeCell ref="M405:Q405"/>
    <mergeCell ref="C406:G406"/>
    <mergeCell ref="M406:Q406"/>
    <mergeCell ref="C408:G408"/>
    <mergeCell ref="M408:Q408"/>
    <mergeCell ref="C401:G401"/>
    <mergeCell ref="M401:Q401"/>
    <mergeCell ref="C403:G403"/>
    <mergeCell ref="M403:Q403"/>
    <mergeCell ref="C404:G404"/>
    <mergeCell ref="M404:Q404"/>
    <mergeCell ref="C398:G398"/>
    <mergeCell ref="M398:Q398"/>
    <mergeCell ref="C399:G399"/>
    <mergeCell ref="M399:Q399"/>
    <mergeCell ref="C400:G400"/>
    <mergeCell ref="M400:Q400"/>
    <mergeCell ref="C416:G416"/>
    <mergeCell ref="M416:Q416"/>
    <mergeCell ref="C418:G418"/>
    <mergeCell ref="M418:Q418"/>
    <mergeCell ref="C419:G419"/>
    <mergeCell ref="M419:Q419"/>
    <mergeCell ref="C413:G413"/>
    <mergeCell ref="M413:Q413"/>
    <mergeCell ref="C414:G414"/>
    <mergeCell ref="M414:Q414"/>
    <mergeCell ref="C415:G415"/>
    <mergeCell ref="M415:Q415"/>
    <mergeCell ref="C409:G409"/>
    <mergeCell ref="M409:Q409"/>
    <mergeCell ref="C410:G410"/>
    <mergeCell ref="M410:Q410"/>
    <mergeCell ref="C411:G411"/>
    <mergeCell ref="M411:Q411"/>
    <mergeCell ref="C428:G428"/>
    <mergeCell ref="M428:Q428"/>
    <mergeCell ref="C429:G429"/>
    <mergeCell ref="M429:Q429"/>
    <mergeCell ref="C430:G430"/>
    <mergeCell ref="M430:Q430"/>
    <mergeCell ref="C424:G424"/>
    <mergeCell ref="M424:Q424"/>
    <mergeCell ref="C425:G425"/>
    <mergeCell ref="M425:Q425"/>
    <mergeCell ref="C426:G426"/>
    <mergeCell ref="M426:Q426"/>
    <mergeCell ref="C420:G420"/>
    <mergeCell ref="M420:Q420"/>
    <mergeCell ref="C421:G421"/>
    <mergeCell ref="M421:Q421"/>
    <mergeCell ref="C423:G423"/>
    <mergeCell ref="M423:Q423"/>
    <mergeCell ref="C439:G439"/>
    <mergeCell ref="M439:Q439"/>
    <mergeCell ref="C440:G440"/>
    <mergeCell ref="M440:Q440"/>
    <mergeCell ref="C441:G441"/>
    <mergeCell ref="M441:Q441"/>
    <mergeCell ref="C435:G435"/>
    <mergeCell ref="M435:Q435"/>
    <mergeCell ref="C436:G436"/>
    <mergeCell ref="M436:Q436"/>
    <mergeCell ref="C438:G438"/>
    <mergeCell ref="M438:Q438"/>
    <mergeCell ref="C431:G431"/>
    <mergeCell ref="M431:Q431"/>
    <mergeCell ref="C433:G433"/>
    <mergeCell ref="M433:Q433"/>
    <mergeCell ref="C434:G434"/>
    <mergeCell ref="M434:Q434"/>
    <mergeCell ref="C450:G450"/>
    <mergeCell ref="M450:Q450"/>
    <mergeCell ref="C451:G451"/>
    <mergeCell ref="M451:Q451"/>
    <mergeCell ref="C453:G453"/>
    <mergeCell ref="M453:Q453"/>
    <mergeCell ref="C446:G446"/>
    <mergeCell ref="M446:Q446"/>
    <mergeCell ref="C448:G448"/>
    <mergeCell ref="M448:Q448"/>
    <mergeCell ref="C449:G449"/>
    <mergeCell ref="M449:Q449"/>
    <mergeCell ref="C443:G443"/>
    <mergeCell ref="M443:Q443"/>
    <mergeCell ref="C444:G444"/>
    <mergeCell ref="M444:Q444"/>
    <mergeCell ref="C445:G445"/>
    <mergeCell ref="M445:Q445"/>
    <mergeCell ref="C461:G461"/>
    <mergeCell ref="M461:Q461"/>
    <mergeCell ref="C463:G463"/>
    <mergeCell ref="M463:Q463"/>
    <mergeCell ref="C464:G464"/>
    <mergeCell ref="M464:Q464"/>
    <mergeCell ref="C458:G458"/>
    <mergeCell ref="M458:Q458"/>
    <mergeCell ref="C459:G459"/>
    <mergeCell ref="M459:Q459"/>
    <mergeCell ref="C460:G460"/>
    <mergeCell ref="M460:Q460"/>
    <mergeCell ref="C454:G454"/>
    <mergeCell ref="M454:Q454"/>
    <mergeCell ref="C455:G455"/>
    <mergeCell ref="M455:Q455"/>
    <mergeCell ref="C456:G456"/>
    <mergeCell ref="M456:Q456"/>
    <mergeCell ref="C473:G473"/>
    <mergeCell ref="M473:Q473"/>
    <mergeCell ref="C474:G474"/>
    <mergeCell ref="M474:Q474"/>
    <mergeCell ref="C475:G475"/>
    <mergeCell ref="M475:Q475"/>
    <mergeCell ref="C469:G469"/>
    <mergeCell ref="M469:Q469"/>
    <mergeCell ref="C470:G470"/>
    <mergeCell ref="M470:Q470"/>
    <mergeCell ref="C471:G471"/>
    <mergeCell ref="M471:Q471"/>
    <mergeCell ref="C465:G465"/>
    <mergeCell ref="M465:Q465"/>
    <mergeCell ref="C466:G466"/>
    <mergeCell ref="M466:Q466"/>
    <mergeCell ref="C468:G468"/>
    <mergeCell ref="M468:Q468"/>
    <mergeCell ref="C484:G484"/>
    <mergeCell ref="M484:Q484"/>
    <mergeCell ref="C485:G485"/>
    <mergeCell ref="M485:Q485"/>
    <mergeCell ref="C486:G486"/>
    <mergeCell ref="M486:Q486"/>
    <mergeCell ref="C480:G480"/>
    <mergeCell ref="M480:Q480"/>
    <mergeCell ref="C481:G481"/>
    <mergeCell ref="M481:Q481"/>
    <mergeCell ref="C483:G483"/>
    <mergeCell ref="M483:Q483"/>
    <mergeCell ref="C476:G476"/>
    <mergeCell ref="M476:Q476"/>
    <mergeCell ref="C478:G478"/>
    <mergeCell ref="M478:Q478"/>
    <mergeCell ref="C479:G479"/>
    <mergeCell ref="M479:Q479"/>
    <mergeCell ref="C495:G495"/>
    <mergeCell ref="M495:Q495"/>
    <mergeCell ref="C496:G496"/>
    <mergeCell ref="M496:Q496"/>
    <mergeCell ref="C498:G498"/>
    <mergeCell ref="M498:Q498"/>
    <mergeCell ref="C491:G491"/>
    <mergeCell ref="M491:Q491"/>
    <mergeCell ref="C493:G493"/>
    <mergeCell ref="M493:Q493"/>
    <mergeCell ref="C494:G494"/>
    <mergeCell ref="M494:Q494"/>
    <mergeCell ref="C488:G488"/>
    <mergeCell ref="M488:Q488"/>
    <mergeCell ref="C489:G489"/>
    <mergeCell ref="M489:Q489"/>
    <mergeCell ref="C490:G490"/>
    <mergeCell ref="M490:Q490"/>
    <mergeCell ref="C511:G511"/>
    <mergeCell ref="M511:Q511"/>
    <mergeCell ref="C508:G508"/>
    <mergeCell ref="M508:Q508"/>
    <mergeCell ref="C506:G506"/>
    <mergeCell ref="M506:Q506"/>
    <mergeCell ref="C509:G509"/>
    <mergeCell ref="M509:Q509"/>
    <mergeCell ref="C510:G510"/>
    <mergeCell ref="M510:Q510"/>
    <mergeCell ref="C503:G503"/>
    <mergeCell ref="M503:Q503"/>
    <mergeCell ref="C504:G504"/>
    <mergeCell ref="M504:Q504"/>
    <mergeCell ref="C505:G505"/>
    <mergeCell ref="M505:Q505"/>
    <mergeCell ref="C499:G499"/>
    <mergeCell ref="M499:Q499"/>
    <mergeCell ref="C500:G500"/>
    <mergeCell ref="M500:Q500"/>
    <mergeCell ref="C501:G501"/>
    <mergeCell ref="M501:Q501"/>
    <mergeCell ref="C520:G520"/>
    <mergeCell ref="M520:Q520"/>
    <mergeCell ref="C521:G521"/>
    <mergeCell ref="M521:Q521"/>
    <mergeCell ref="C523:G523"/>
    <mergeCell ref="M523:Q523"/>
    <mergeCell ref="C516:G516"/>
    <mergeCell ref="M516:Q516"/>
    <mergeCell ref="C518:G518"/>
    <mergeCell ref="M518:Q518"/>
    <mergeCell ref="C519:G519"/>
    <mergeCell ref="M519:Q519"/>
    <mergeCell ref="C513:G513"/>
    <mergeCell ref="M513:Q513"/>
    <mergeCell ref="C514:G514"/>
    <mergeCell ref="M514:Q514"/>
    <mergeCell ref="C515:G515"/>
    <mergeCell ref="M515:Q515"/>
    <mergeCell ref="C531:G531"/>
    <mergeCell ref="M531:Q531"/>
    <mergeCell ref="C533:G533"/>
    <mergeCell ref="M533:Q533"/>
    <mergeCell ref="C534:G534"/>
    <mergeCell ref="M534:Q534"/>
    <mergeCell ref="C528:G528"/>
    <mergeCell ref="M528:Q528"/>
    <mergeCell ref="C529:G529"/>
    <mergeCell ref="M529:Q529"/>
    <mergeCell ref="C530:G530"/>
    <mergeCell ref="M530:Q530"/>
    <mergeCell ref="C524:G524"/>
    <mergeCell ref="M524:Q524"/>
    <mergeCell ref="C525:G525"/>
    <mergeCell ref="M525:Q525"/>
    <mergeCell ref="C526:G526"/>
    <mergeCell ref="M526:Q526"/>
    <mergeCell ref="C543:G543"/>
    <mergeCell ref="M543:Q543"/>
    <mergeCell ref="C544:G544"/>
    <mergeCell ref="M544:Q544"/>
    <mergeCell ref="C545:G545"/>
    <mergeCell ref="M545:Q545"/>
    <mergeCell ref="C539:G539"/>
    <mergeCell ref="M539:Q539"/>
    <mergeCell ref="C540:G540"/>
    <mergeCell ref="M540:Q540"/>
    <mergeCell ref="C541:G541"/>
    <mergeCell ref="M541:Q541"/>
    <mergeCell ref="C535:G535"/>
    <mergeCell ref="M535:Q535"/>
    <mergeCell ref="C536:G536"/>
    <mergeCell ref="M536:Q536"/>
    <mergeCell ref="C538:G538"/>
    <mergeCell ref="M538:Q538"/>
    <mergeCell ref="C554:G554"/>
    <mergeCell ref="M554:Q554"/>
    <mergeCell ref="C555:G555"/>
    <mergeCell ref="M555:Q555"/>
    <mergeCell ref="C556:G556"/>
    <mergeCell ref="M556:Q556"/>
    <mergeCell ref="C550:G550"/>
    <mergeCell ref="M550:Q550"/>
    <mergeCell ref="C551:G551"/>
    <mergeCell ref="M551:Q551"/>
    <mergeCell ref="C553:G553"/>
    <mergeCell ref="M553:Q553"/>
    <mergeCell ref="C546:G546"/>
    <mergeCell ref="M546:Q546"/>
    <mergeCell ref="C548:G548"/>
    <mergeCell ref="M548:Q548"/>
    <mergeCell ref="C549:G549"/>
    <mergeCell ref="M549:Q549"/>
    <mergeCell ref="C565:G565"/>
    <mergeCell ref="M565:Q565"/>
    <mergeCell ref="C566:G566"/>
    <mergeCell ref="M566:Q566"/>
    <mergeCell ref="C568:G568"/>
    <mergeCell ref="M568:Q568"/>
    <mergeCell ref="C561:G561"/>
    <mergeCell ref="M561:Q561"/>
    <mergeCell ref="C563:G563"/>
    <mergeCell ref="M563:Q563"/>
    <mergeCell ref="C564:G564"/>
    <mergeCell ref="M564:Q564"/>
    <mergeCell ref="C558:G558"/>
    <mergeCell ref="M558:Q558"/>
    <mergeCell ref="C559:G559"/>
    <mergeCell ref="M559:Q559"/>
    <mergeCell ref="C560:G560"/>
    <mergeCell ref="M560:Q560"/>
    <mergeCell ref="C576:G576"/>
    <mergeCell ref="M576:Q576"/>
    <mergeCell ref="C578:G578"/>
    <mergeCell ref="M578:Q578"/>
    <mergeCell ref="C579:G579"/>
    <mergeCell ref="M579:Q579"/>
    <mergeCell ref="C573:G573"/>
    <mergeCell ref="M573:Q573"/>
    <mergeCell ref="C574:G574"/>
    <mergeCell ref="M574:Q574"/>
    <mergeCell ref="C575:G575"/>
    <mergeCell ref="M575:Q575"/>
    <mergeCell ref="C569:G569"/>
    <mergeCell ref="M569:Q569"/>
    <mergeCell ref="C570:G570"/>
    <mergeCell ref="M570:Q570"/>
    <mergeCell ref="C571:G571"/>
    <mergeCell ref="M571:Q571"/>
    <mergeCell ref="C588:G588"/>
    <mergeCell ref="M588:Q588"/>
    <mergeCell ref="C589:G589"/>
    <mergeCell ref="M589:Q589"/>
    <mergeCell ref="C590:G590"/>
    <mergeCell ref="M590:Q590"/>
    <mergeCell ref="C584:G584"/>
    <mergeCell ref="M584:Q584"/>
    <mergeCell ref="C585:G585"/>
    <mergeCell ref="M585:Q585"/>
    <mergeCell ref="C586:G586"/>
    <mergeCell ref="M586:Q586"/>
    <mergeCell ref="C580:G580"/>
    <mergeCell ref="M580:Q580"/>
    <mergeCell ref="C581:G581"/>
    <mergeCell ref="M581:Q581"/>
    <mergeCell ref="C583:G583"/>
    <mergeCell ref="M583:Q583"/>
    <mergeCell ref="C599:G599"/>
    <mergeCell ref="M599:Q599"/>
    <mergeCell ref="C600:G600"/>
    <mergeCell ref="M600:Q600"/>
    <mergeCell ref="C601:G601"/>
    <mergeCell ref="M601:Q601"/>
    <mergeCell ref="C595:G595"/>
    <mergeCell ref="M595:Q595"/>
    <mergeCell ref="C596:G596"/>
    <mergeCell ref="M596:Q596"/>
    <mergeCell ref="C598:G598"/>
    <mergeCell ref="M598:Q598"/>
    <mergeCell ref="C591:G591"/>
    <mergeCell ref="M591:Q591"/>
    <mergeCell ref="C593:G593"/>
    <mergeCell ref="M593:Q593"/>
    <mergeCell ref="C594:G594"/>
    <mergeCell ref="M594:Q594"/>
    <mergeCell ref="C610:G610"/>
    <mergeCell ref="M610:Q610"/>
    <mergeCell ref="C611:G611"/>
    <mergeCell ref="M611:Q611"/>
    <mergeCell ref="C613:G613"/>
    <mergeCell ref="M613:Q613"/>
    <mergeCell ref="C606:G606"/>
    <mergeCell ref="M606:Q606"/>
    <mergeCell ref="C608:G608"/>
    <mergeCell ref="M608:Q608"/>
    <mergeCell ref="C609:G609"/>
    <mergeCell ref="M609:Q609"/>
    <mergeCell ref="C603:G603"/>
    <mergeCell ref="M603:Q603"/>
    <mergeCell ref="C604:G604"/>
    <mergeCell ref="M604:Q604"/>
    <mergeCell ref="C605:G605"/>
    <mergeCell ref="M605:Q605"/>
    <mergeCell ref="C621:G621"/>
    <mergeCell ref="M621:Q621"/>
    <mergeCell ref="C623:G623"/>
    <mergeCell ref="M623:Q623"/>
    <mergeCell ref="C624:G624"/>
    <mergeCell ref="M624:Q624"/>
    <mergeCell ref="C618:G618"/>
    <mergeCell ref="M618:Q618"/>
    <mergeCell ref="C619:G619"/>
    <mergeCell ref="M619:Q619"/>
    <mergeCell ref="C620:G620"/>
    <mergeCell ref="M620:Q620"/>
    <mergeCell ref="C614:G614"/>
    <mergeCell ref="M614:Q614"/>
    <mergeCell ref="C615:G615"/>
    <mergeCell ref="M615:Q615"/>
    <mergeCell ref="C616:G616"/>
    <mergeCell ref="M616:Q616"/>
    <mergeCell ref="C633:G633"/>
    <mergeCell ref="M633:Q633"/>
    <mergeCell ref="C634:G634"/>
    <mergeCell ref="M634:Q634"/>
    <mergeCell ref="C635:G635"/>
    <mergeCell ref="M635:Q635"/>
    <mergeCell ref="C629:G629"/>
    <mergeCell ref="M629:Q629"/>
    <mergeCell ref="C630:G630"/>
    <mergeCell ref="M630:Q630"/>
    <mergeCell ref="C631:G631"/>
    <mergeCell ref="M631:Q631"/>
    <mergeCell ref="C625:G625"/>
    <mergeCell ref="M625:Q625"/>
    <mergeCell ref="C626:G626"/>
    <mergeCell ref="M626:Q626"/>
    <mergeCell ref="C628:G628"/>
    <mergeCell ref="M628:Q628"/>
    <mergeCell ref="C644:G644"/>
    <mergeCell ref="M644:Q644"/>
    <mergeCell ref="C645:G645"/>
    <mergeCell ref="M645:Q645"/>
    <mergeCell ref="C646:G646"/>
    <mergeCell ref="M646:Q646"/>
    <mergeCell ref="C640:G640"/>
    <mergeCell ref="M640:Q640"/>
    <mergeCell ref="C641:G641"/>
    <mergeCell ref="M641:Q641"/>
    <mergeCell ref="C643:G643"/>
    <mergeCell ref="M643:Q643"/>
    <mergeCell ref="C636:G636"/>
    <mergeCell ref="M636:Q636"/>
    <mergeCell ref="C638:G638"/>
    <mergeCell ref="M638:Q638"/>
    <mergeCell ref="C639:G639"/>
    <mergeCell ref="M639:Q639"/>
    <mergeCell ref="C655:G655"/>
    <mergeCell ref="M655:Q655"/>
    <mergeCell ref="C656:G656"/>
    <mergeCell ref="M656:Q656"/>
    <mergeCell ref="C658:G658"/>
    <mergeCell ref="M658:Q658"/>
    <mergeCell ref="C651:G651"/>
    <mergeCell ref="M651:Q651"/>
    <mergeCell ref="C653:G653"/>
    <mergeCell ref="M653:Q653"/>
    <mergeCell ref="C654:G654"/>
    <mergeCell ref="M654:Q654"/>
    <mergeCell ref="C648:G648"/>
    <mergeCell ref="M648:Q648"/>
    <mergeCell ref="C649:G649"/>
    <mergeCell ref="M649:Q649"/>
    <mergeCell ref="C650:G650"/>
    <mergeCell ref="M650:Q650"/>
    <mergeCell ref="C666:G666"/>
    <mergeCell ref="M666:Q666"/>
    <mergeCell ref="C668:G668"/>
    <mergeCell ref="M668:Q668"/>
    <mergeCell ref="C669:G669"/>
    <mergeCell ref="M669:Q669"/>
    <mergeCell ref="C663:G663"/>
    <mergeCell ref="M663:Q663"/>
    <mergeCell ref="C664:G664"/>
    <mergeCell ref="M664:Q664"/>
    <mergeCell ref="C665:G665"/>
    <mergeCell ref="M665:Q665"/>
    <mergeCell ref="C659:G659"/>
    <mergeCell ref="M659:Q659"/>
    <mergeCell ref="C660:G660"/>
    <mergeCell ref="M660:Q660"/>
    <mergeCell ref="C661:G661"/>
    <mergeCell ref="M661:Q661"/>
    <mergeCell ref="C678:G678"/>
    <mergeCell ref="M678:Q678"/>
    <mergeCell ref="C679:G679"/>
    <mergeCell ref="M679:Q679"/>
    <mergeCell ref="C680:G680"/>
    <mergeCell ref="M680:Q680"/>
    <mergeCell ref="C674:G674"/>
    <mergeCell ref="M674:Q674"/>
    <mergeCell ref="C675:G675"/>
    <mergeCell ref="M675:Q675"/>
    <mergeCell ref="C676:G676"/>
    <mergeCell ref="M676:Q676"/>
    <mergeCell ref="C670:G670"/>
    <mergeCell ref="M670:Q670"/>
    <mergeCell ref="C671:G671"/>
    <mergeCell ref="M671:Q671"/>
    <mergeCell ref="C673:G673"/>
    <mergeCell ref="M673:Q673"/>
    <mergeCell ref="C689:G689"/>
    <mergeCell ref="M689:Q689"/>
    <mergeCell ref="C690:G690"/>
    <mergeCell ref="M690:Q690"/>
    <mergeCell ref="C691:G691"/>
    <mergeCell ref="M691:Q691"/>
    <mergeCell ref="C685:G685"/>
    <mergeCell ref="M685:Q685"/>
    <mergeCell ref="C686:G686"/>
    <mergeCell ref="M686:Q686"/>
    <mergeCell ref="C688:G688"/>
    <mergeCell ref="M688:Q688"/>
    <mergeCell ref="C681:G681"/>
    <mergeCell ref="M681:Q681"/>
    <mergeCell ref="C683:G683"/>
    <mergeCell ref="M683:Q683"/>
    <mergeCell ref="C684:G684"/>
    <mergeCell ref="M684:Q684"/>
    <mergeCell ref="C700:G700"/>
    <mergeCell ref="M700:Q700"/>
    <mergeCell ref="C701:G701"/>
    <mergeCell ref="M701:Q701"/>
    <mergeCell ref="C703:G703"/>
    <mergeCell ref="M703:Q703"/>
    <mergeCell ref="C696:G696"/>
    <mergeCell ref="M696:Q696"/>
    <mergeCell ref="C698:G698"/>
    <mergeCell ref="M698:Q698"/>
    <mergeCell ref="C699:G699"/>
    <mergeCell ref="M699:Q699"/>
    <mergeCell ref="C693:G693"/>
    <mergeCell ref="M693:Q693"/>
    <mergeCell ref="C694:G694"/>
    <mergeCell ref="M694:Q694"/>
    <mergeCell ref="C695:G695"/>
    <mergeCell ref="M695:Q695"/>
    <mergeCell ref="C711:G711"/>
    <mergeCell ref="M711:Q711"/>
    <mergeCell ref="C713:G713"/>
    <mergeCell ref="M713:Q713"/>
    <mergeCell ref="C714:G714"/>
    <mergeCell ref="M714:Q714"/>
    <mergeCell ref="C708:G708"/>
    <mergeCell ref="M708:Q708"/>
    <mergeCell ref="C709:G709"/>
    <mergeCell ref="M709:Q709"/>
    <mergeCell ref="C710:G710"/>
    <mergeCell ref="M710:Q710"/>
    <mergeCell ref="C704:G704"/>
    <mergeCell ref="M704:Q704"/>
    <mergeCell ref="C705:G705"/>
    <mergeCell ref="M705:Q705"/>
    <mergeCell ref="C706:G706"/>
    <mergeCell ref="M706:Q706"/>
    <mergeCell ref="C723:G723"/>
    <mergeCell ref="M723:Q723"/>
    <mergeCell ref="C724:G724"/>
    <mergeCell ref="M724:Q724"/>
    <mergeCell ref="C725:G725"/>
    <mergeCell ref="M725:Q725"/>
    <mergeCell ref="C719:G719"/>
    <mergeCell ref="M719:Q719"/>
    <mergeCell ref="C720:G720"/>
    <mergeCell ref="M720:Q720"/>
    <mergeCell ref="C721:G721"/>
    <mergeCell ref="M721:Q721"/>
    <mergeCell ref="C715:G715"/>
    <mergeCell ref="M715:Q715"/>
    <mergeCell ref="C716:G716"/>
    <mergeCell ref="M716:Q716"/>
    <mergeCell ref="C718:G718"/>
    <mergeCell ref="M718:Q718"/>
    <mergeCell ref="C734:G734"/>
    <mergeCell ref="M734:Q734"/>
    <mergeCell ref="C735:G735"/>
    <mergeCell ref="M735:Q735"/>
    <mergeCell ref="C736:G736"/>
    <mergeCell ref="M736:Q736"/>
    <mergeCell ref="C730:G730"/>
    <mergeCell ref="M730:Q730"/>
    <mergeCell ref="C731:G731"/>
    <mergeCell ref="M731:Q731"/>
    <mergeCell ref="C733:G733"/>
    <mergeCell ref="M733:Q733"/>
    <mergeCell ref="C726:G726"/>
    <mergeCell ref="M726:Q726"/>
    <mergeCell ref="C728:G728"/>
    <mergeCell ref="M728:Q728"/>
    <mergeCell ref="C729:G729"/>
    <mergeCell ref="M729:Q729"/>
    <mergeCell ref="C745:G745"/>
    <mergeCell ref="M745:Q745"/>
    <mergeCell ref="C746:G746"/>
    <mergeCell ref="M746:Q746"/>
    <mergeCell ref="C748:G748"/>
    <mergeCell ref="M748:Q748"/>
    <mergeCell ref="C741:G741"/>
    <mergeCell ref="M741:Q741"/>
    <mergeCell ref="C743:G743"/>
    <mergeCell ref="M743:Q743"/>
    <mergeCell ref="C744:G744"/>
    <mergeCell ref="M744:Q744"/>
    <mergeCell ref="C738:G738"/>
    <mergeCell ref="M738:Q738"/>
    <mergeCell ref="C739:G739"/>
    <mergeCell ref="M739:Q739"/>
    <mergeCell ref="C740:G740"/>
    <mergeCell ref="M740:Q740"/>
    <mergeCell ref="C756:G756"/>
    <mergeCell ref="M756:Q756"/>
    <mergeCell ref="C758:G758"/>
    <mergeCell ref="M758:Q758"/>
    <mergeCell ref="C759:G759"/>
    <mergeCell ref="M759:Q759"/>
    <mergeCell ref="C753:G753"/>
    <mergeCell ref="M753:Q753"/>
    <mergeCell ref="C754:G754"/>
    <mergeCell ref="M754:Q754"/>
    <mergeCell ref="C755:G755"/>
    <mergeCell ref="M755:Q755"/>
    <mergeCell ref="C749:G749"/>
    <mergeCell ref="M749:Q749"/>
    <mergeCell ref="C750:G750"/>
    <mergeCell ref="M750:Q750"/>
    <mergeCell ref="C751:G751"/>
    <mergeCell ref="M751:Q751"/>
    <mergeCell ref="C768:G768"/>
    <mergeCell ref="M768:Q768"/>
    <mergeCell ref="C769:G769"/>
    <mergeCell ref="M769:Q769"/>
    <mergeCell ref="C770:G770"/>
    <mergeCell ref="M770:Q770"/>
    <mergeCell ref="C764:G764"/>
    <mergeCell ref="M764:Q764"/>
    <mergeCell ref="C765:G765"/>
    <mergeCell ref="M765:Q765"/>
    <mergeCell ref="C766:G766"/>
    <mergeCell ref="M766:Q766"/>
    <mergeCell ref="C760:G760"/>
    <mergeCell ref="M760:Q760"/>
    <mergeCell ref="C761:G761"/>
    <mergeCell ref="M761:Q761"/>
    <mergeCell ref="C763:G763"/>
    <mergeCell ref="M763:Q763"/>
    <mergeCell ref="C779:G779"/>
    <mergeCell ref="M779:Q779"/>
    <mergeCell ref="C780:G780"/>
    <mergeCell ref="M780:Q780"/>
    <mergeCell ref="C781:G781"/>
    <mergeCell ref="M781:Q781"/>
    <mergeCell ref="C775:G775"/>
    <mergeCell ref="M775:Q775"/>
    <mergeCell ref="C776:G776"/>
    <mergeCell ref="M776:Q776"/>
    <mergeCell ref="C778:G778"/>
    <mergeCell ref="M778:Q778"/>
    <mergeCell ref="C771:G771"/>
    <mergeCell ref="M771:Q771"/>
    <mergeCell ref="C773:G773"/>
    <mergeCell ref="M773:Q773"/>
    <mergeCell ref="C774:G774"/>
    <mergeCell ref="M774:Q774"/>
    <mergeCell ref="C790:G790"/>
    <mergeCell ref="M790:Q790"/>
    <mergeCell ref="C791:G791"/>
    <mergeCell ref="M791:Q791"/>
    <mergeCell ref="C793:G793"/>
    <mergeCell ref="M793:Q793"/>
    <mergeCell ref="C786:G786"/>
    <mergeCell ref="M786:Q786"/>
    <mergeCell ref="C788:G788"/>
    <mergeCell ref="M788:Q788"/>
    <mergeCell ref="C789:G789"/>
    <mergeCell ref="M789:Q789"/>
    <mergeCell ref="C783:G783"/>
    <mergeCell ref="M783:Q783"/>
    <mergeCell ref="C784:G784"/>
    <mergeCell ref="M784:Q784"/>
    <mergeCell ref="C785:G785"/>
    <mergeCell ref="M785:Q785"/>
    <mergeCell ref="C801:G801"/>
    <mergeCell ref="M801:Q801"/>
    <mergeCell ref="C803:G803"/>
    <mergeCell ref="M803:Q803"/>
    <mergeCell ref="C804:G804"/>
    <mergeCell ref="M804:Q804"/>
    <mergeCell ref="C798:G798"/>
    <mergeCell ref="M798:Q798"/>
    <mergeCell ref="C799:G799"/>
    <mergeCell ref="M799:Q799"/>
    <mergeCell ref="C800:G800"/>
    <mergeCell ref="M800:Q800"/>
    <mergeCell ref="C794:G794"/>
    <mergeCell ref="M794:Q794"/>
    <mergeCell ref="C795:G795"/>
    <mergeCell ref="M795:Q795"/>
    <mergeCell ref="C796:G796"/>
    <mergeCell ref="M796:Q796"/>
    <mergeCell ref="C813:G813"/>
    <mergeCell ref="M813:Q813"/>
    <mergeCell ref="C814:G814"/>
    <mergeCell ref="M814:Q814"/>
    <mergeCell ref="C815:G815"/>
    <mergeCell ref="M815:Q815"/>
    <mergeCell ref="C809:G809"/>
    <mergeCell ref="M809:Q809"/>
    <mergeCell ref="C810:G810"/>
    <mergeCell ref="M810:Q810"/>
    <mergeCell ref="C811:G811"/>
    <mergeCell ref="M811:Q811"/>
    <mergeCell ref="C805:G805"/>
    <mergeCell ref="M805:Q805"/>
    <mergeCell ref="C806:G806"/>
    <mergeCell ref="M806:Q806"/>
    <mergeCell ref="C808:G808"/>
    <mergeCell ref="M808:Q808"/>
    <mergeCell ref="C824:G824"/>
    <mergeCell ref="M824:Q824"/>
    <mergeCell ref="C825:G825"/>
    <mergeCell ref="M825:Q825"/>
    <mergeCell ref="C826:G826"/>
    <mergeCell ref="M826:Q826"/>
    <mergeCell ref="C820:G820"/>
    <mergeCell ref="M820:Q820"/>
    <mergeCell ref="C821:G821"/>
    <mergeCell ref="M821:Q821"/>
    <mergeCell ref="C823:G823"/>
    <mergeCell ref="M823:Q823"/>
    <mergeCell ref="C816:G816"/>
    <mergeCell ref="M816:Q816"/>
    <mergeCell ref="C818:G818"/>
    <mergeCell ref="M818:Q818"/>
    <mergeCell ref="C819:G819"/>
    <mergeCell ref="M819:Q819"/>
    <mergeCell ref="C835:G835"/>
    <mergeCell ref="M835:Q835"/>
    <mergeCell ref="C836:G836"/>
    <mergeCell ref="M836:Q836"/>
    <mergeCell ref="C838:G838"/>
    <mergeCell ref="M838:Q838"/>
    <mergeCell ref="C831:G831"/>
    <mergeCell ref="M831:Q831"/>
    <mergeCell ref="C833:G833"/>
    <mergeCell ref="M833:Q833"/>
    <mergeCell ref="C834:G834"/>
    <mergeCell ref="M834:Q834"/>
    <mergeCell ref="C828:G828"/>
    <mergeCell ref="M828:Q828"/>
    <mergeCell ref="C829:G829"/>
    <mergeCell ref="M829:Q829"/>
    <mergeCell ref="C830:G830"/>
    <mergeCell ref="M830:Q830"/>
    <mergeCell ref="C846:G846"/>
    <mergeCell ref="M846:Q846"/>
    <mergeCell ref="C848:G848"/>
    <mergeCell ref="M848:Q848"/>
    <mergeCell ref="C849:G849"/>
    <mergeCell ref="M849:Q849"/>
    <mergeCell ref="C843:G843"/>
    <mergeCell ref="M843:Q843"/>
    <mergeCell ref="C844:G844"/>
    <mergeCell ref="M844:Q844"/>
    <mergeCell ref="C845:G845"/>
    <mergeCell ref="M845:Q845"/>
    <mergeCell ref="C839:G839"/>
    <mergeCell ref="M839:Q839"/>
    <mergeCell ref="C840:G840"/>
    <mergeCell ref="M840:Q840"/>
    <mergeCell ref="C841:G841"/>
    <mergeCell ref="M841:Q841"/>
    <mergeCell ref="C858:G858"/>
    <mergeCell ref="M858:Q858"/>
    <mergeCell ref="C859:G859"/>
    <mergeCell ref="M859:Q859"/>
    <mergeCell ref="C860:G860"/>
    <mergeCell ref="M860:Q860"/>
    <mergeCell ref="C854:G854"/>
    <mergeCell ref="M854:Q854"/>
    <mergeCell ref="C855:G855"/>
    <mergeCell ref="M855:Q855"/>
    <mergeCell ref="C856:G856"/>
    <mergeCell ref="M856:Q856"/>
    <mergeCell ref="C850:G850"/>
    <mergeCell ref="M850:Q850"/>
    <mergeCell ref="C851:G851"/>
    <mergeCell ref="M851:Q851"/>
    <mergeCell ref="C853:G853"/>
    <mergeCell ref="M853:Q853"/>
    <mergeCell ref="C869:G869"/>
    <mergeCell ref="M869:Q869"/>
    <mergeCell ref="C870:G870"/>
    <mergeCell ref="M870:Q870"/>
    <mergeCell ref="C871:G871"/>
    <mergeCell ref="M871:Q871"/>
    <mergeCell ref="C865:G865"/>
    <mergeCell ref="M865:Q865"/>
    <mergeCell ref="C866:G866"/>
    <mergeCell ref="M866:Q866"/>
    <mergeCell ref="C868:G868"/>
    <mergeCell ref="M868:Q868"/>
    <mergeCell ref="C861:G861"/>
    <mergeCell ref="M861:Q861"/>
    <mergeCell ref="C863:G863"/>
    <mergeCell ref="M863:Q863"/>
    <mergeCell ref="C864:G864"/>
    <mergeCell ref="M864:Q864"/>
    <mergeCell ref="C880:G880"/>
    <mergeCell ref="M880:Q880"/>
    <mergeCell ref="C881:G881"/>
    <mergeCell ref="M881:Q881"/>
    <mergeCell ref="C883:G883"/>
    <mergeCell ref="M883:Q883"/>
    <mergeCell ref="C876:G876"/>
    <mergeCell ref="M876:Q876"/>
    <mergeCell ref="C878:G878"/>
    <mergeCell ref="M878:Q878"/>
    <mergeCell ref="C879:G879"/>
    <mergeCell ref="M879:Q879"/>
    <mergeCell ref="C873:G873"/>
    <mergeCell ref="M873:Q873"/>
    <mergeCell ref="C874:G874"/>
    <mergeCell ref="M874:Q874"/>
    <mergeCell ref="C875:G875"/>
    <mergeCell ref="M875:Q875"/>
    <mergeCell ref="C891:G891"/>
    <mergeCell ref="M891:Q891"/>
    <mergeCell ref="C893:G893"/>
    <mergeCell ref="M893:Q893"/>
    <mergeCell ref="C894:G894"/>
    <mergeCell ref="M894:Q894"/>
    <mergeCell ref="C888:G888"/>
    <mergeCell ref="M888:Q888"/>
    <mergeCell ref="C889:G889"/>
    <mergeCell ref="M889:Q889"/>
    <mergeCell ref="C890:G890"/>
    <mergeCell ref="M890:Q890"/>
    <mergeCell ref="C884:G884"/>
    <mergeCell ref="M884:Q884"/>
    <mergeCell ref="C885:G885"/>
    <mergeCell ref="M885:Q885"/>
    <mergeCell ref="C886:G886"/>
    <mergeCell ref="M886:Q886"/>
    <mergeCell ref="C903:G903"/>
    <mergeCell ref="M903:Q903"/>
    <mergeCell ref="C904:G904"/>
    <mergeCell ref="M904:Q904"/>
    <mergeCell ref="C905:G905"/>
    <mergeCell ref="M905:Q905"/>
    <mergeCell ref="C899:G899"/>
    <mergeCell ref="M899:Q899"/>
    <mergeCell ref="C900:G900"/>
    <mergeCell ref="M900:Q900"/>
    <mergeCell ref="C901:G901"/>
    <mergeCell ref="M901:Q901"/>
    <mergeCell ref="C895:G895"/>
    <mergeCell ref="M895:Q895"/>
    <mergeCell ref="C896:G896"/>
    <mergeCell ref="M896:Q896"/>
    <mergeCell ref="C898:G898"/>
    <mergeCell ref="M898:Q898"/>
    <mergeCell ref="C914:G914"/>
    <mergeCell ref="M914:Q914"/>
    <mergeCell ref="C915:G915"/>
    <mergeCell ref="M915:Q915"/>
    <mergeCell ref="C916:G916"/>
    <mergeCell ref="M916:Q916"/>
    <mergeCell ref="C910:G910"/>
    <mergeCell ref="M910:Q910"/>
    <mergeCell ref="C911:G911"/>
    <mergeCell ref="M911:Q911"/>
    <mergeCell ref="C913:G913"/>
    <mergeCell ref="M913:Q913"/>
    <mergeCell ref="C906:G906"/>
    <mergeCell ref="M906:Q906"/>
    <mergeCell ref="C908:G908"/>
    <mergeCell ref="M908:Q908"/>
    <mergeCell ref="C909:G909"/>
    <mergeCell ref="M909:Q909"/>
    <mergeCell ref="C925:G925"/>
    <mergeCell ref="M925:Q925"/>
    <mergeCell ref="C926:G926"/>
    <mergeCell ref="M926:Q926"/>
    <mergeCell ref="C928:G928"/>
    <mergeCell ref="M928:Q928"/>
    <mergeCell ref="C921:G921"/>
    <mergeCell ref="M921:Q921"/>
    <mergeCell ref="C923:G923"/>
    <mergeCell ref="M923:Q923"/>
    <mergeCell ref="C924:G924"/>
    <mergeCell ref="M924:Q924"/>
    <mergeCell ref="C918:G918"/>
    <mergeCell ref="M918:Q918"/>
    <mergeCell ref="C919:G919"/>
    <mergeCell ref="M919:Q919"/>
    <mergeCell ref="C920:G920"/>
    <mergeCell ref="M920:Q920"/>
    <mergeCell ref="C936:G936"/>
    <mergeCell ref="M936:Q936"/>
    <mergeCell ref="C938:G938"/>
    <mergeCell ref="M938:Q938"/>
    <mergeCell ref="C939:G939"/>
    <mergeCell ref="M939:Q939"/>
    <mergeCell ref="C933:G933"/>
    <mergeCell ref="M933:Q933"/>
    <mergeCell ref="C934:G934"/>
    <mergeCell ref="M934:Q934"/>
    <mergeCell ref="C935:G935"/>
    <mergeCell ref="M935:Q935"/>
    <mergeCell ref="C929:G929"/>
    <mergeCell ref="M929:Q929"/>
    <mergeCell ref="C930:G930"/>
    <mergeCell ref="M930:Q930"/>
    <mergeCell ref="C931:G931"/>
    <mergeCell ref="M931:Q931"/>
    <mergeCell ref="C948:G948"/>
    <mergeCell ref="M948:Q948"/>
    <mergeCell ref="C949:G949"/>
    <mergeCell ref="M949:Q949"/>
    <mergeCell ref="C950:G950"/>
    <mergeCell ref="M950:Q950"/>
    <mergeCell ref="C944:G944"/>
    <mergeCell ref="M944:Q944"/>
    <mergeCell ref="C945:G945"/>
    <mergeCell ref="M945:Q945"/>
    <mergeCell ref="C946:G946"/>
    <mergeCell ref="M946:Q946"/>
    <mergeCell ref="C940:G940"/>
    <mergeCell ref="M940:Q940"/>
    <mergeCell ref="C941:G941"/>
    <mergeCell ref="M941:Q941"/>
    <mergeCell ref="C943:G943"/>
    <mergeCell ref="M943:Q943"/>
    <mergeCell ref="C959:G959"/>
    <mergeCell ref="M959:Q959"/>
    <mergeCell ref="C960:G960"/>
    <mergeCell ref="M960:Q960"/>
    <mergeCell ref="C961:G961"/>
    <mergeCell ref="M961:Q961"/>
    <mergeCell ref="C955:G955"/>
    <mergeCell ref="M955:Q955"/>
    <mergeCell ref="C956:G956"/>
    <mergeCell ref="M956:Q956"/>
    <mergeCell ref="C958:G958"/>
    <mergeCell ref="M958:Q958"/>
    <mergeCell ref="C951:G951"/>
    <mergeCell ref="M951:Q951"/>
    <mergeCell ref="C953:G953"/>
    <mergeCell ref="M953:Q953"/>
    <mergeCell ref="C954:G954"/>
    <mergeCell ref="M954:Q954"/>
    <mergeCell ref="C970:G970"/>
    <mergeCell ref="M970:Q970"/>
    <mergeCell ref="C971:G971"/>
    <mergeCell ref="M971:Q971"/>
    <mergeCell ref="C973:G973"/>
    <mergeCell ref="M973:Q973"/>
    <mergeCell ref="C966:G966"/>
    <mergeCell ref="M966:Q966"/>
    <mergeCell ref="C968:G968"/>
    <mergeCell ref="M968:Q968"/>
    <mergeCell ref="C969:G969"/>
    <mergeCell ref="M969:Q969"/>
    <mergeCell ref="C963:G963"/>
    <mergeCell ref="M963:Q963"/>
    <mergeCell ref="C964:G964"/>
    <mergeCell ref="M964:Q964"/>
    <mergeCell ref="C965:G965"/>
    <mergeCell ref="M965:Q965"/>
    <mergeCell ref="C981:G981"/>
    <mergeCell ref="M981:Q981"/>
    <mergeCell ref="C983:G983"/>
    <mergeCell ref="M983:Q983"/>
    <mergeCell ref="C984:G984"/>
    <mergeCell ref="M984:Q984"/>
    <mergeCell ref="C978:G978"/>
    <mergeCell ref="M978:Q978"/>
    <mergeCell ref="C979:G979"/>
    <mergeCell ref="M979:Q979"/>
    <mergeCell ref="C980:G980"/>
    <mergeCell ref="M980:Q980"/>
    <mergeCell ref="C974:G974"/>
    <mergeCell ref="M974:Q974"/>
    <mergeCell ref="C975:G975"/>
    <mergeCell ref="M975:Q975"/>
    <mergeCell ref="C976:G976"/>
    <mergeCell ref="M976:Q976"/>
    <mergeCell ref="C993:G993"/>
    <mergeCell ref="M993:Q993"/>
    <mergeCell ref="C994:G994"/>
    <mergeCell ref="M994:Q994"/>
    <mergeCell ref="C995:G995"/>
    <mergeCell ref="M995:Q995"/>
    <mergeCell ref="C989:G989"/>
    <mergeCell ref="M989:Q989"/>
    <mergeCell ref="C990:G990"/>
    <mergeCell ref="M990:Q990"/>
    <mergeCell ref="C991:G991"/>
    <mergeCell ref="M991:Q991"/>
    <mergeCell ref="C985:G985"/>
    <mergeCell ref="M985:Q985"/>
    <mergeCell ref="C986:G986"/>
    <mergeCell ref="M986:Q986"/>
    <mergeCell ref="C988:G988"/>
    <mergeCell ref="M988:Q988"/>
    <mergeCell ref="C1004:G1004"/>
    <mergeCell ref="M1004:Q1004"/>
    <mergeCell ref="C1005:G1005"/>
    <mergeCell ref="M1005:Q1005"/>
    <mergeCell ref="C1006:G1006"/>
    <mergeCell ref="M1006:Q1006"/>
    <mergeCell ref="C1000:G1000"/>
    <mergeCell ref="M1000:Q1000"/>
    <mergeCell ref="C1001:G1001"/>
    <mergeCell ref="M1001:Q1001"/>
    <mergeCell ref="C1003:G1003"/>
    <mergeCell ref="M1003:Q1003"/>
    <mergeCell ref="C996:G996"/>
    <mergeCell ref="M996:Q996"/>
    <mergeCell ref="C998:G998"/>
    <mergeCell ref="M998:Q998"/>
    <mergeCell ref="C999:G999"/>
    <mergeCell ref="M999:Q999"/>
    <mergeCell ref="C1015:G1015"/>
    <mergeCell ref="M1015:Q1015"/>
    <mergeCell ref="C1016:G1016"/>
    <mergeCell ref="M1016:Q1016"/>
    <mergeCell ref="C1018:G1018"/>
    <mergeCell ref="M1018:Q1018"/>
    <mergeCell ref="C1011:G1011"/>
    <mergeCell ref="M1011:Q1011"/>
    <mergeCell ref="C1013:G1013"/>
    <mergeCell ref="M1013:Q1013"/>
    <mergeCell ref="C1014:G1014"/>
    <mergeCell ref="M1014:Q1014"/>
    <mergeCell ref="C1008:G1008"/>
    <mergeCell ref="M1008:Q1008"/>
    <mergeCell ref="C1009:G1009"/>
    <mergeCell ref="M1009:Q1009"/>
    <mergeCell ref="C1010:G1010"/>
    <mergeCell ref="M1010:Q1010"/>
    <mergeCell ref="C1026:G1026"/>
    <mergeCell ref="M1026:Q1026"/>
    <mergeCell ref="C1028:G1028"/>
    <mergeCell ref="M1028:Q1028"/>
    <mergeCell ref="C1029:G1029"/>
    <mergeCell ref="M1029:Q1029"/>
    <mergeCell ref="C1023:G1023"/>
    <mergeCell ref="M1023:Q1023"/>
    <mergeCell ref="C1024:G1024"/>
    <mergeCell ref="M1024:Q1024"/>
    <mergeCell ref="C1025:G1025"/>
    <mergeCell ref="M1025:Q1025"/>
    <mergeCell ref="C1019:G1019"/>
    <mergeCell ref="M1019:Q1019"/>
    <mergeCell ref="C1020:G1020"/>
    <mergeCell ref="M1020:Q1020"/>
    <mergeCell ref="C1021:G1021"/>
    <mergeCell ref="M1021:Q1021"/>
    <mergeCell ref="C1038:G1038"/>
    <mergeCell ref="M1038:Q1038"/>
    <mergeCell ref="C1039:G1039"/>
    <mergeCell ref="M1039:Q1039"/>
    <mergeCell ref="C1040:G1040"/>
    <mergeCell ref="M1040:Q1040"/>
    <mergeCell ref="C1034:G1034"/>
    <mergeCell ref="M1034:Q1034"/>
    <mergeCell ref="C1035:G1035"/>
    <mergeCell ref="M1035:Q1035"/>
    <mergeCell ref="C1036:G1036"/>
    <mergeCell ref="M1036:Q1036"/>
    <mergeCell ref="C1030:G1030"/>
    <mergeCell ref="M1030:Q1030"/>
    <mergeCell ref="C1031:G1031"/>
    <mergeCell ref="M1031:Q1031"/>
    <mergeCell ref="C1033:G1033"/>
    <mergeCell ref="M1033:Q1033"/>
    <mergeCell ref="C1049:G1049"/>
    <mergeCell ref="M1049:Q1049"/>
    <mergeCell ref="C1050:G1050"/>
    <mergeCell ref="M1050:Q1050"/>
    <mergeCell ref="C1051:G1051"/>
    <mergeCell ref="M1051:Q1051"/>
    <mergeCell ref="C1045:G1045"/>
    <mergeCell ref="M1045:Q1045"/>
    <mergeCell ref="C1046:G1046"/>
    <mergeCell ref="M1046:Q1046"/>
    <mergeCell ref="C1048:G1048"/>
    <mergeCell ref="M1048:Q1048"/>
    <mergeCell ref="C1041:G1041"/>
    <mergeCell ref="M1041:Q1041"/>
    <mergeCell ref="C1043:G1043"/>
    <mergeCell ref="M1043:Q1043"/>
    <mergeCell ref="C1044:G1044"/>
    <mergeCell ref="M1044:Q1044"/>
    <mergeCell ref="C1060:G1060"/>
    <mergeCell ref="M1060:Q1060"/>
    <mergeCell ref="C1061:G1061"/>
    <mergeCell ref="M1061:Q1061"/>
    <mergeCell ref="C1063:G1063"/>
    <mergeCell ref="M1063:Q1063"/>
    <mergeCell ref="C1056:G1056"/>
    <mergeCell ref="M1056:Q1056"/>
    <mergeCell ref="C1058:G1058"/>
    <mergeCell ref="M1058:Q1058"/>
    <mergeCell ref="C1059:G1059"/>
    <mergeCell ref="M1059:Q1059"/>
    <mergeCell ref="C1053:G1053"/>
    <mergeCell ref="M1053:Q1053"/>
    <mergeCell ref="C1054:G1054"/>
    <mergeCell ref="M1054:Q1054"/>
    <mergeCell ref="C1055:G1055"/>
    <mergeCell ref="M1055:Q1055"/>
    <mergeCell ref="C1071:G1071"/>
    <mergeCell ref="M1071:Q1071"/>
    <mergeCell ref="C1073:G1073"/>
    <mergeCell ref="M1073:Q1073"/>
    <mergeCell ref="C1074:G1074"/>
    <mergeCell ref="M1074:Q1074"/>
    <mergeCell ref="C1068:G1068"/>
    <mergeCell ref="M1068:Q1068"/>
    <mergeCell ref="C1069:G1069"/>
    <mergeCell ref="M1069:Q1069"/>
    <mergeCell ref="C1070:G1070"/>
    <mergeCell ref="M1070:Q1070"/>
    <mergeCell ref="C1064:G1064"/>
    <mergeCell ref="M1064:Q1064"/>
    <mergeCell ref="C1065:G1065"/>
    <mergeCell ref="M1065:Q1065"/>
    <mergeCell ref="C1066:G1066"/>
    <mergeCell ref="M1066:Q1066"/>
    <mergeCell ref="C1083:G1083"/>
    <mergeCell ref="M1083:Q1083"/>
    <mergeCell ref="C1084:G1084"/>
    <mergeCell ref="M1084:Q1084"/>
    <mergeCell ref="C1085:G1085"/>
    <mergeCell ref="M1085:Q1085"/>
    <mergeCell ref="C1079:G1079"/>
    <mergeCell ref="M1079:Q1079"/>
    <mergeCell ref="C1080:G1080"/>
    <mergeCell ref="M1080:Q1080"/>
    <mergeCell ref="C1081:G1081"/>
    <mergeCell ref="M1081:Q1081"/>
    <mergeCell ref="C1075:G1075"/>
    <mergeCell ref="M1075:Q1075"/>
    <mergeCell ref="C1076:G1076"/>
    <mergeCell ref="M1076:Q1076"/>
    <mergeCell ref="C1078:G1078"/>
    <mergeCell ref="M1078:Q1078"/>
    <mergeCell ref="C1094:G1094"/>
    <mergeCell ref="M1094:Q1094"/>
    <mergeCell ref="C1095:G1095"/>
    <mergeCell ref="M1095:Q1095"/>
    <mergeCell ref="C1096:G1096"/>
    <mergeCell ref="M1096:Q1096"/>
    <mergeCell ref="C1090:G1090"/>
    <mergeCell ref="M1090:Q1090"/>
    <mergeCell ref="C1091:G1091"/>
    <mergeCell ref="M1091:Q1091"/>
    <mergeCell ref="C1093:G1093"/>
    <mergeCell ref="M1093:Q1093"/>
    <mergeCell ref="C1086:G1086"/>
    <mergeCell ref="M1086:Q1086"/>
    <mergeCell ref="C1088:G1088"/>
    <mergeCell ref="M1088:Q1088"/>
    <mergeCell ref="C1089:G1089"/>
    <mergeCell ref="M1089:Q1089"/>
    <mergeCell ref="C1105:G1105"/>
    <mergeCell ref="M1105:Q1105"/>
    <mergeCell ref="C1106:G1106"/>
    <mergeCell ref="M1106:Q1106"/>
    <mergeCell ref="C1108:G1108"/>
    <mergeCell ref="M1108:Q1108"/>
    <mergeCell ref="C1101:G1101"/>
    <mergeCell ref="M1101:Q1101"/>
    <mergeCell ref="C1103:G1103"/>
    <mergeCell ref="M1103:Q1103"/>
    <mergeCell ref="C1104:G1104"/>
    <mergeCell ref="M1104:Q1104"/>
    <mergeCell ref="C1098:G1098"/>
    <mergeCell ref="M1098:Q1098"/>
    <mergeCell ref="C1099:G1099"/>
    <mergeCell ref="M1099:Q1099"/>
    <mergeCell ref="C1100:G1100"/>
    <mergeCell ref="M1100:Q1100"/>
    <mergeCell ref="C1116:G1116"/>
    <mergeCell ref="M1116:Q1116"/>
    <mergeCell ref="C1118:G1118"/>
    <mergeCell ref="M1118:Q1118"/>
    <mergeCell ref="C1119:G1119"/>
    <mergeCell ref="M1119:Q1119"/>
    <mergeCell ref="C1113:G1113"/>
    <mergeCell ref="M1113:Q1113"/>
    <mergeCell ref="C1114:G1114"/>
    <mergeCell ref="M1114:Q1114"/>
    <mergeCell ref="C1115:G1115"/>
    <mergeCell ref="M1115:Q1115"/>
    <mergeCell ref="C1109:G1109"/>
    <mergeCell ref="M1109:Q1109"/>
    <mergeCell ref="C1110:G1110"/>
    <mergeCell ref="M1110:Q1110"/>
    <mergeCell ref="C1111:G1111"/>
    <mergeCell ref="M1111:Q1111"/>
    <mergeCell ref="C1128:G1128"/>
    <mergeCell ref="M1128:Q1128"/>
    <mergeCell ref="C1129:G1129"/>
    <mergeCell ref="M1129:Q1129"/>
    <mergeCell ref="C1130:G1130"/>
    <mergeCell ref="M1130:Q1130"/>
    <mergeCell ref="C1124:G1124"/>
    <mergeCell ref="M1124:Q1124"/>
    <mergeCell ref="C1125:G1125"/>
    <mergeCell ref="M1125:Q1125"/>
    <mergeCell ref="C1126:G1126"/>
    <mergeCell ref="M1126:Q1126"/>
    <mergeCell ref="C1120:G1120"/>
    <mergeCell ref="M1120:Q1120"/>
    <mergeCell ref="C1121:G1121"/>
    <mergeCell ref="M1121:Q1121"/>
    <mergeCell ref="C1123:G1123"/>
    <mergeCell ref="M1123:Q1123"/>
    <mergeCell ref="C1139:G1139"/>
    <mergeCell ref="M1139:Q1139"/>
    <mergeCell ref="C1140:G1140"/>
    <mergeCell ref="M1140:Q1140"/>
    <mergeCell ref="C1141:G1141"/>
    <mergeCell ref="M1141:Q1141"/>
    <mergeCell ref="C1135:G1135"/>
    <mergeCell ref="M1135:Q1135"/>
    <mergeCell ref="C1136:G1136"/>
    <mergeCell ref="M1136:Q1136"/>
    <mergeCell ref="C1138:G1138"/>
    <mergeCell ref="M1138:Q1138"/>
    <mergeCell ref="C1131:G1131"/>
    <mergeCell ref="M1131:Q1131"/>
    <mergeCell ref="C1133:G1133"/>
    <mergeCell ref="M1133:Q1133"/>
    <mergeCell ref="C1134:G1134"/>
    <mergeCell ref="M1134:Q1134"/>
    <mergeCell ref="C1150:G1150"/>
    <mergeCell ref="M1150:Q1150"/>
    <mergeCell ref="C1151:G1151"/>
    <mergeCell ref="M1151:Q1151"/>
    <mergeCell ref="C1153:G1153"/>
    <mergeCell ref="M1153:Q1153"/>
    <mergeCell ref="C1146:G1146"/>
    <mergeCell ref="M1146:Q1146"/>
    <mergeCell ref="C1148:G1148"/>
    <mergeCell ref="M1148:Q1148"/>
    <mergeCell ref="C1149:G1149"/>
    <mergeCell ref="M1149:Q1149"/>
    <mergeCell ref="C1143:G1143"/>
    <mergeCell ref="M1143:Q1143"/>
    <mergeCell ref="C1144:G1144"/>
    <mergeCell ref="M1144:Q1144"/>
    <mergeCell ref="C1145:G1145"/>
    <mergeCell ref="M1145:Q1145"/>
    <mergeCell ref="C1161:G1161"/>
    <mergeCell ref="M1161:Q1161"/>
    <mergeCell ref="C1163:G1163"/>
    <mergeCell ref="M1163:Q1163"/>
    <mergeCell ref="C1164:G1164"/>
    <mergeCell ref="M1164:Q1164"/>
    <mergeCell ref="C1158:G1158"/>
    <mergeCell ref="M1158:Q1158"/>
    <mergeCell ref="C1159:G1159"/>
    <mergeCell ref="M1159:Q1159"/>
    <mergeCell ref="C1160:G1160"/>
    <mergeCell ref="M1160:Q1160"/>
    <mergeCell ref="C1154:G1154"/>
    <mergeCell ref="M1154:Q1154"/>
    <mergeCell ref="C1155:G1155"/>
    <mergeCell ref="M1155:Q1155"/>
    <mergeCell ref="C1156:G1156"/>
    <mergeCell ref="M1156:Q1156"/>
    <mergeCell ref="C1173:G1173"/>
    <mergeCell ref="M1173:Q1173"/>
    <mergeCell ref="C1174:G1174"/>
    <mergeCell ref="M1174:Q1174"/>
    <mergeCell ref="C1175:G1175"/>
    <mergeCell ref="M1175:Q1175"/>
    <mergeCell ref="C1169:G1169"/>
    <mergeCell ref="M1169:Q1169"/>
    <mergeCell ref="C1170:G1170"/>
    <mergeCell ref="M1170:Q1170"/>
    <mergeCell ref="C1171:G1171"/>
    <mergeCell ref="M1171:Q1171"/>
    <mergeCell ref="C1165:G1165"/>
    <mergeCell ref="M1165:Q1165"/>
    <mergeCell ref="C1166:G1166"/>
    <mergeCell ref="M1166:Q1166"/>
    <mergeCell ref="C1168:G1168"/>
    <mergeCell ref="M1168:Q1168"/>
    <mergeCell ref="C1184:G1184"/>
    <mergeCell ref="M1184:Q1184"/>
    <mergeCell ref="C1185:G1185"/>
    <mergeCell ref="M1185:Q1185"/>
    <mergeCell ref="C1186:G1186"/>
    <mergeCell ref="M1186:Q1186"/>
    <mergeCell ref="C1180:G1180"/>
    <mergeCell ref="M1180:Q1180"/>
    <mergeCell ref="C1181:G1181"/>
    <mergeCell ref="M1181:Q1181"/>
    <mergeCell ref="C1183:G1183"/>
    <mergeCell ref="M1183:Q1183"/>
    <mergeCell ref="C1176:G1176"/>
    <mergeCell ref="M1176:Q1176"/>
    <mergeCell ref="C1178:G1178"/>
    <mergeCell ref="M1178:Q1178"/>
    <mergeCell ref="C1179:G1179"/>
    <mergeCell ref="M1179:Q1179"/>
    <mergeCell ref="C1195:G1195"/>
    <mergeCell ref="M1195:Q1195"/>
    <mergeCell ref="C1196:G1196"/>
    <mergeCell ref="M1196:Q1196"/>
    <mergeCell ref="C1198:G1198"/>
    <mergeCell ref="M1198:Q1198"/>
    <mergeCell ref="C1191:G1191"/>
    <mergeCell ref="M1191:Q1191"/>
    <mergeCell ref="C1193:G1193"/>
    <mergeCell ref="M1193:Q1193"/>
    <mergeCell ref="C1194:G1194"/>
    <mergeCell ref="M1194:Q1194"/>
    <mergeCell ref="C1188:G1188"/>
    <mergeCell ref="M1188:Q1188"/>
    <mergeCell ref="C1189:G1189"/>
    <mergeCell ref="M1189:Q1189"/>
    <mergeCell ref="C1190:G1190"/>
    <mergeCell ref="M1190:Q1190"/>
    <mergeCell ref="C1206:G1206"/>
    <mergeCell ref="M1206:Q1206"/>
    <mergeCell ref="C1208:G1208"/>
    <mergeCell ref="M1208:Q1208"/>
    <mergeCell ref="C1209:G1209"/>
    <mergeCell ref="M1209:Q1209"/>
    <mergeCell ref="C1203:G1203"/>
    <mergeCell ref="M1203:Q1203"/>
    <mergeCell ref="C1204:G1204"/>
    <mergeCell ref="M1204:Q1204"/>
    <mergeCell ref="C1205:G1205"/>
    <mergeCell ref="M1205:Q1205"/>
    <mergeCell ref="C1199:G1199"/>
    <mergeCell ref="M1199:Q1199"/>
    <mergeCell ref="C1200:G1200"/>
    <mergeCell ref="M1200:Q1200"/>
    <mergeCell ref="C1201:G1201"/>
    <mergeCell ref="M1201:Q1201"/>
    <mergeCell ref="C1218:G1218"/>
    <mergeCell ref="M1218:Q1218"/>
    <mergeCell ref="C1219:G1219"/>
    <mergeCell ref="M1219:Q1219"/>
    <mergeCell ref="C1220:G1220"/>
    <mergeCell ref="M1220:Q1220"/>
    <mergeCell ref="C1214:G1214"/>
    <mergeCell ref="M1214:Q1214"/>
    <mergeCell ref="C1215:G1215"/>
    <mergeCell ref="M1215:Q1215"/>
    <mergeCell ref="C1216:G1216"/>
    <mergeCell ref="M1216:Q1216"/>
    <mergeCell ref="C1210:G1210"/>
    <mergeCell ref="M1210:Q1210"/>
    <mergeCell ref="C1211:G1211"/>
    <mergeCell ref="M1211:Q1211"/>
    <mergeCell ref="C1213:G1213"/>
    <mergeCell ref="M1213:Q1213"/>
    <mergeCell ref="C1229:G1229"/>
    <mergeCell ref="M1229:Q1229"/>
    <mergeCell ref="C1230:G1230"/>
    <mergeCell ref="M1230:Q1230"/>
    <mergeCell ref="C1231:G1231"/>
    <mergeCell ref="M1231:Q1231"/>
    <mergeCell ref="C1225:G1225"/>
    <mergeCell ref="M1225:Q1225"/>
    <mergeCell ref="C1226:G1226"/>
    <mergeCell ref="M1226:Q1226"/>
    <mergeCell ref="C1228:G1228"/>
    <mergeCell ref="M1228:Q1228"/>
    <mergeCell ref="C1221:G1221"/>
    <mergeCell ref="M1221:Q1221"/>
    <mergeCell ref="C1223:G1223"/>
    <mergeCell ref="M1223:Q1223"/>
    <mergeCell ref="C1224:G1224"/>
    <mergeCell ref="M1224:Q1224"/>
    <mergeCell ref="C1240:G1240"/>
    <mergeCell ref="M1240:Q1240"/>
    <mergeCell ref="C1241:G1241"/>
    <mergeCell ref="M1241:Q1241"/>
    <mergeCell ref="C1243:G1243"/>
    <mergeCell ref="M1243:Q1243"/>
    <mergeCell ref="C1236:G1236"/>
    <mergeCell ref="M1236:Q1236"/>
    <mergeCell ref="C1238:G1238"/>
    <mergeCell ref="M1238:Q1238"/>
    <mergeCell ref="C1239:G1239"/>
    <mergeCell ref="M1239:Q1239"/>
    <mergeCell ref="C1233:G1233"/>
    <mergeCell ref="M1233:Q1233"/>
    <mergeCell ref="C1234:G1234"/>
    <mergeCell ref="M1234:Q1234"/>
    <mergeCell ref="C1235:G1235"/>
    <mergeCell ref="M1235:Q1235"/>
    <mergeCell ref="C1255:G1255"/>
    <mergeCell ref="M1255:Q1255"/>
    <mergeCell ref="C1256:G1256"/>
    <mergeCell ref="M1256:Q1256"/>
    <mergeCell ref="C1251:G1251"/>
    <mergeCell ref="M1251:Q1251"/>
    <mergeCell ref="C1253:G1253"/>
    <mergeCell ref="M1253:Q1253"/>
    <mergeCell ref="C1254:G1254"/>
    <mergeCell ref="M1254:Q1254"/>
    <mergeCell ref="C1248:G1248"/>
    <mergeCell ref="M1248:Q1248"/>
    <mergeCell ref="C1249:G1249"/>
    <mergeCell ref="M1249:Q1249"/>
    <mergeCell ref="C1250:G1250"/>
    <mergeCell ref="M1250:Q1250"/>
    <mergeCell ref="C1244:G1244"/>
    <mergeCell ref="M1244:Q1244"/>
    <mergeCell ref="C1245:G1245"/>
    <mergeCell ref="M1245:Q1245"/>
    <mergeCell ref="C1246:G1246"/>
    <mergeCell ref="M1246:Q1246"/>
  </mergeCells>
  <phoneticPr fontId="2" type="noConversion"/>
  <conditionalFormatting sqref="J3:K3">
    <cfRule type="cellIs" dxfId="251" priority="253" operator="greaterThan">
      <formula>$I$2</formula>
    </cfRule>
  </conditionalFormatting>
  <conditionalFormatting sqref="T3">
    <cfRule type="cellIs" dxfId="250" priority="252" operator="greaterThan">
      <formula>$I$2</formula>
    </cfRule>
  </conditionalFormatting>
  <conditionalFormatting sqref="T8">
    <cfRule type="cellIs" dxfId="249" priority="250" operator="greaterThan">
      <formula>$I$2</formula>
    </cfRule>
  </conditionalFormatting>
  <conditionalFormatting sqref="T13">
    <cfRule type="cellIs" dxfId="248" priority="249" operator="greaterThan">
      <formula>$I$2</formula>
    </cfRule>
  </conditionalFormatting>
  <conditionalFormatting sqref="T18">
    <cfRule type="cellIs" dxfId="247" priority="248" operator="greaterThan">
      <formula>$I$2</formula>
    </cfRule>
  </conditionalFormatting>
  <conditionalFormatting sqref="T23">
    <cfRule type="cellIs" dxfId="246" priority="247" operator="greaterThan">
      <formula>$I$2</formula>
    </cfRule>
  </conditionalFormatting>
  <conditionalFormatting sqref="T28">
    <cfRule type="cellIs" dxfId="245" priority="246" operator="greaterThan">
      <formula>$I$2</formula>
    </cfRule>
  </conditionalFormatting>
  <conditionalFormatting sqref="T33">
    <cfRule type="cellIs" dxfId="244" priority="245" operator="greaterThan">
      <formula>$I$2</formula>
    </cfRule>
  </conditionalFormatting>
  <conditionalFormatting sqref="T38">
    <cfRule type="cellIs" dxfId="243" priority="244" operator="greaterThan">
      <formula>$I$2</formula>
    </cfRule>
  </conditionalFormatting>
  <conditionalFormatting sqref="T43">
    <cfRule type="cellIs" dxfId="242" priority="243" operator="greaterThan">
      <formula>$I$2</formula>
    </cfRule>
  </conditionalFormatting>
  <conditionalFormatting sqref="T48">
    <cfRule type="cellIs" dxfId="241" priority="242" operator="greaterThan">
      <formula>$I$2</formula>
    </cfRule>
  </conditionalFormatting>
  <conditionalFormatting sqref="T53">
    <cfRule type="cellIs" dxfId="240" priority="241" operator="greaterThan">
      <formula>$I$2</formula>
    </cfRule>
  </conditionalFormatting>
  <conditionalFormatting sqref="T58">
    <cfRule type="cellIs" dxfId="239" priority="240" operator="greaterThan">
      <formula>$I$2</formula>
    </cfRule>
  </conditionalFormatting>
  <conditionalFormatting sqref="T63">
    <cfRule type="cellIs" dxfId="238" priority="239" operator="greaterThan">
      <formula>$I$2</formula>
    </cfRule>
  </conditionalFormatting>
  <conditionalFormatting sqref="T68">
    <cfRule type="cellIs" dxfId="237" priority="238" operator="greaterThan">
      <formula>$I$2</formula>
    </cfRule>
  </conditionalFormatting>
  <conditionalFormatting sqref="T73">
    <cfRule type="cellIs" dxfId="236" priority="237" operator="greaterThan">
      <formula>$I$2</formula>
    </cfRule>
  </conditionalFormatting>
  <conditionalFormatting sqref="T78">
    <cfRule type="cellIs" dxfId="235" priority="236" operator="greaterThan">
      <formula>$I$2</formula>
    </cfRule>
  </conditionalFormatting>
  <conditionalFormatting sqref="T83">
    <cfRule type="cellIs" dxfId="234" priority="235" operator="greaterThan">
      <formula>$I$2</formula>
    </cfRule>
  </conditionalFormatting>
  <conditionalFormatting sqref="T88">
    <cfRule type="cellIs" dxfId="233" priority="234" operator="greaterThan">
      <formula>$I$2</formula>
    </cfRule>
  </conditionalFormatting>
  <conditionalFormatting sqref="T93">
    <cfRule type="cellIs" dxfId="232" priority="233" operator="greaterThan">
      <formula>$I$2</formula>
    </cfRule>
  </conditionalFormatting>
  <conditionalFormatting sqref="T98">
    <cfRule type="cellIs" dxfId="231" priority="232" operator="greaterThan">
      <formula>$I$2</formula>
    </cfRule>
  </conditionalFormatting>
  <conditionalFormatting sqref="T103">
    <cfRule type="cellIs" dxfId="230" priority="231" operator="greaterThan">
      <formula>$I$2</formula>
    </cfRule>
  </conditionalFormatting>
  <conditionalFormatting sqref="T108">
    <cfRule type="cellIs" dxfId="229" priority="230" operator="greaterThan">
      <formula>$I$2</formula>
    </cfRule>
  </conditionalFormatting>
  <conditionalFormatting sqref="T113">
    <cfRule type="cellIs" dxfId="228" priority="229" operator="greaterThan">
      <formula>$I$2</formula>
    </cfRule>
  </conditionalFormatting>
  <conditionalFormatting sqref="T118">
    <cfRule type="cellIs" dxfId="227" priority="228" operator="greaterThan">
      <formula>$I$2</formula>
    </cfRule>
  </conditionalFormatting>
  <conditionalFormatting sqref="T123">
    <cfRule type="cellIs" dxfId="226" priority="227" operator="greaterThan">
      <formula>$I$2</formula>
    </cfRule>
  </conditionalFormatting>
  <conditionalFormatting sqref="T128">
    <cfRule type="cellIs" dxfId="225" priority="226" operator="greaterThan">
      <formula>$I$2</formula>
    </cfRule>
  </conditionalFormatting>
  <conditionalFormatting sqref="T133">
    <cfRule type="cellIs" dxfId="224" priority="225" operator="greaterThan">
      <formula>$I$2</formula>
    </cfRule>
  </conditionalFormatting>
  <conditionalFormatting sqref="T138">
    <cfRule type="cellIs" dxfId="223" priority="224" operator="greaterThan">
      <formula>$I$2</formula>
    </cfRule>
  </conditionalFormatting>
  <conditionalFormatting sqref="T143">
    <cfRule type="cellIs" dxfId="222" priority="223" operator="greaterThan">
      <formula>$I$2</formula>
    </cfRule>
  </conditionalFormatting>
  <conditionalFormatting sqref="T148">
    <cfRule type="cellIs" dxfId="221" priority="222" operator="greaterThan">
      <formula>$I$2</formula>
    </cfRule>
  </conditionalFormatting>
  <conditionalFormatting sqref="T153">
    <cfRule type="cellIs" dxfId="220" priority="221" operator="greaterThan">
      <formula>$I$2</formula>
    </cfRule>
  </conditionalFormatting>
  <conditionalFormatting sqref="T158">
    <cfRule type="cellIs" dxfId="219" priority="220" operator="greaterThan">
      <formula>$I$2</formula>
    </cfRule>
  </conditionalFormatting>
  <conditionalFormatting sqref="T163">
    <cfRule type="cellIs" dxfId="218" priority="219" operator="greaterThan">
      <formula>$I$2</formula>
    </cfRule>
  </conditionalFormatting>
  <conditionalFormatting sqref="T168">
    <cfRule type="cellIs" dxfId="217" priority="218" operator="greaterThan">
      <formula>$I$2</formula>
    </cfRule>
  </conditionalFormatting>
  <conditionalFormatting sqref="T173">
    <cfRule type="cellIs" dxfId="216" priority="217" operator="greaterThan">
      <formula>$I$2</formula>
    </cfRule>
  </conditionalFormatting>
  <conditionalFormatting sqref="T178">
    <cfRule type="cellIs" dxfId="215" priority="216" operator="greaterThan">
      <formula>$I$2</formula>
    </cfRule>
  </conditionalFormatting>
  <conditionalFormatting sqref="T183">
    <cfRule type="cellIs" dxfId="214" priority="215" operator="greaterThan">
      <formula>$I$2</formula>
    </cfRule>
  </conditionalFormatting>
  <conditionalFormatting sqref="T188">
    <cfRule type="cellIs" dxfId="213" priority="214" operator="greaterThan">
      <formula>$I$2</formula>
    </cfRule>
  </conditionalFormatting>
  <conditionalFormatting sqref="T193">
    <cfRule type="cellIs" dxfId="212" priority="213" operator="greaterThan">
      <formula>$I$2</formula>
    </cfRule>
  </conditionalFormatting>
  <conditionalFormatting sqref="T198">
    <cfRule type="cellIs" dxfId="211" priority="212" operator="greaterThan">
      <formula>$I$2</formula>
    </cfRule>
  </conditionalFormatting>
  <conditionalFormatting sqref="T203">
    <cfRule type="cellIs" dxfId="210" priority="211" operator="greaterThan">
      <formula>$I$2</formula>
    </cfRule>
  </conditionalFormatting>
  <conditionalFormatting sqref="T208">
    <cfRule type="cellIs" dxfId="209" priority="210" operator="greaterThan">
      <formula>$I$2</formula>
    </cfRule>
  </conditionalFormatting>
  <conditionalFormatting sqref="T213">
    <cfRule type="cellIs" dxfId="208" priority="209" operator="greaterThan">
      <formula>$I$2</formula>
    </cfRule>
  </conditionalFormatting>
  <conditionalFormatting sqref="T218">
    <cfRule type="cellIs" dxfId="207" priority="208" operator="greaterThan">
      <formula>$I$2</formula>
    </cfRule>
  </conditionalFormatting>
  <conditionalFormatting sqref="T223">
    <cfRule type="cellIs" dxfId="206" priority="207" operator="greaterThan">
      <formula>$I$2</formula>
    </cfRule>
  </conditionalFormatting>
  <conditionalFormatting sqref="T228">
    <cfRule type="cellIs" dxfId="205" priority="206" operator="greaterThan">
      <formula>$I$2</formula>
    </cfRule>
  </conditionalFormatting>
  <conditionalFormatting sqref="T233">
    <cfRule type="cellIs" dxfId="204" priority="205" operator="greaterThan">
      <formula>$I$2</formula>
    </cfRule>
  </conditionalFormatting>
  <conditionalFormatting sqref="T238">
    <cfRule type="cellIs" dxfId="203" priority="204" operator="greaterThan">
      <formula>$I$2</formula>
    </cfRule>
  </conditionalFormatting>
  <conditionalFormatting sqref="T243">
    <cfRule type="cellIs" dxfId="202" priority="203" operator="greaterThan">
      <formula>$I$2</formula>
    </cfRule>
  </conditionalFormatting>
  <conditionalFormatting sqref="T248">
    <cfRule type="cellIs" dxfId="201" priority="202" operator="greaterThan">
      <formula>$I$2</formula>
    </cfRule>
  </conditionalFormatting>
  <conditionalFormatting sqref="T253">
    <cfRule type="cellIs" dxfId="200" priority="201" operator="greaterThan">
      <formula>$I$2</formula>
    </cfRule>
  </conditionalFormatting>
  <conditionalFormatting sqref="T258">
    <cfRule type="cellIs" dxfId="199" priority="200" operator="greaterThan">
      <formula>$I$2</formula>
    </cfRule>
  </conditionalFormatting>
  <conditionalFormatting sqref="T263">
    <cfRule type="cellIs" dxfId="198" priority="199" operator="greaterThan">
      <formula>$I$2</formula>
    </cfRule>
  </conditionalFormatting>
  <conditionalFormatting sqref="T268">
    <cfRule type="cellIs" dxfId="197" priority="198" operator="greaterThan">
      <formula>$I$2</formula>
    </cfRule>
  </conditionalFormatting>
  <conditionalFormatting sqref="T273">
    <cfRule type="cellIs" dxfId="196" priority="197" operator="greaterThan">
      <formula>$I$2</formula>
    </cfRule>
  </conditionalFormatting>
  <conditionalFormatting sqref="T278">
    <cfRule type="cellIs" dxfId="195" priority="196" operator="greaterThan">
      <formula>$I$2</formula>
    </cfRule>
  </conditionalFormatting>
  <conditionalFormatting sqref="T283">
    <cfRule type="cellIs" dxfId="194" priority="195" operator="greaterThan">
      <formula>$I$2</formula>
    </cfRule>
  </conditionalFormatting>
  <conditionalFormatting sqref="T288">
    <cfRule type="cellIs" dxfId="193" priority="194" operator="greaterThan">
      <formula>$I$2</formula>
    </cfRule>
  </conditionalFormatting>
  <conditionalFormatting sqref="T293">
    <cfRule type="cellIs" dxfId="192" priority="193" operator="greaterThan">
      <formula>$I$2</formula>
    </cfRule>
  </conditionalFormatting>
  <conditionalFormatting sqref="T298">
    <cfRule type="cellIs" dxfId="191" priority="192" operator="greaterThan">
      <formula>$I$2</formula>
    </cfRule>
  </conditionalFormatting>
  <conditionalFormatting sqref="T303">
    <cfRule type="cellIs" dxfId="190" priority="191" operator="greaterThan">
      <formula>$I$2</formula>
    </cfRule>
  </conditionalFormatting>
  <conditionalFormatting sqref="T308">
    <cfRule type="cellIs" dxfId="189" priority="190" operator="greaterThan">
      <formula>$I$2</formula>
    </cfRule>
  </conditionalFormatting>
  <conditionalFormatting sqref="T313">
    <cfRule type="cellIs" dxfId="188" priority="189" operator="greaterThan">
      <formula>$I$2</formula>
    </cfRule>
  </conditionalFormatting>
  <conditionalFormatting sqref="T318">
    <cfRule type="cellIs" dxfId="187" priority="188" operator="greaterThan">
      <formula>$I$2</formula>
    </cfRule>
  </conditionalFormatting>
  <conditionalFormatting sqref="T323">
    <cfRule type="cellIs" dxfId="186" priority="187" operator="greaterThan">
      <formula>$I$2</formula>
    </cfRule>
  </conditionalFormatting>
  <conditionalFormatting sqref="T328">
    <cfRule type="cellIs" dxfId="185" priority="186" operator="greaterThan">
      <formula>$I$2</formula>
    </cfRule>
  </conditionalFormatting>
  <conditionalFormatting sqref="T333">
    <cfRule type="cellIs" dxfId="184" priority="185" operator="greaterThan">
      <formula>$I$2</formula>
    </cfRule>
  </conditionalFormatting>
  <conditionalFormatting sqref="T338">
    <cfRule type="cellIs" dxfId="183" priority="184" operator="greaterThan">
      <formula>$I$2</formula>
    </cfRule>
  </conditionalFormatting>
  <conditionalFormatting sqref="T343">
    <cfRule type="cellIs" dxfId="182" priority="183" operator="greaterThan">
      <formula>$I$2</formula>
    </cfRule>
  </conditionalFormatting>
  <conditionalFormatting sqref="T348">
    <cfRule type="cellIs" dxfId="181" priority="182" operator="greaterThan">
      <formula>$I$2</formula>
    </cfRule>
  </conditionalFormatting>
  <conditionalFormatting sqref="T353">
    <cfRule type="cellIs" dxfId="180" priority="181" operator="greaterThan">
      <formula>$I$2</formula>
    </cfRule>
  </conditionalFormatting>
  <conditionalFormatting sqref="T358">
    <cfRule type="cellIs" dxfId="179" priority="180" operator="greaterThan">
      <formula>$I$2</formula>
    </cfRule>
  </conditionalFormatting>
  <conditionalFormatting sqref="T363">
    <cfRule type="cellIs" dxfId="178" priority="179" operator="greaterThan">
      <formula>$I$2</formula>
    </cfRule>
  </conditionalFormatting>
  <conditionalFormatting sqref="T368">
    <cfRule type="cellIs" dxfId="177" priority="178" operator="greaterThan">
      <formula>$I$2</formula>
    </cfRule>
  </conditionalFormatting>
  <conditionalFormatting sqref="T373">
    <cfRule type="cellIs" dxfId="176" priority="177" operator="greaterThan">
      <formula>$I$2</formula>
    </cfRule>
  </conditionalFormatting>
  <conditionalFormatting sqref="T378">
    <cfRule type="cellIs" dxfId="175" priority="176" operator="greaterThan">
      <formula>$I$2</formula>
    </cfRule>
  </conditionalFormatting>
  <conditionalFormatting sqref="T383">
    <cfRule type="cellIs" dxfId="174" priority="175" operator="greaterThan">
      <formula>$I$2</formula>
    </cfRule>
  </conditionalFormatting>
  <conditionalFormatting sqref="T388">
    <cfRule type="cellIs" dxfId="173" priority="174" operator="greaterThan">
      <formula>$I$2</formula>
    </cfRule>
  </conditionalFormatting>
  <conditionalFormatting sqref="T393">
    <cfRule type="cellIs" dxfId="172" priority="173" operator="greaterThan">
      <formula>$I$2</formula>
    </cfRule>
  </conditionalFormatting>
  <conditionalFormatting sqref="T398">
    <cfRule type="cellIs" dxfId="171" priority="172" operator="greaterThan">
      <formula>$I$2</formula>
    </cfRule>
  </conditionalFormatting>
  <conditionalFormatting sqref="T403">
    <cfRule type="cellIs" dxfId="170" priority="171" operator="greaterThan">
      <formula>$I$2</formula>
    </cfRule>
  </conditionalFormatting>
  <conditionalFormatting sqref="T408">
    <cfRule type="cellIs" dxfId="169" priority="170" operator="greaterThan">
      <formula>$I$2</formula>
    </cfRule>
  </conditionalFormatting>
  <conditionalFormatting sqref="T413">
    <cfRule type="cellIs" dxfId="168" priority="169" operator="greaterThan">
      <formula>$I$2</formula>
    </cfRule>
  </conditionalFormatting>
  <conditionalFormatting sqref="T418">
    <cfRule type="cellIs" dxfId="167" priority="168" operator="greaterThan">
      <formula>$I$2</formula>
    </cfRule>
  </conditionalFormatting>
  <conditionalFormatting sqref="T423">
    <cfRule type="cellIs" dxfId="166" priority="167" operator="greaterThan">
      <formula>$I$2</formula>
    </cfRule>
  </conditionalFormatting>
  <conditionalFormatting sqref="T428">
    <cfRule type="cellIs" dxfId="165" priority="166" operator="greaterThan">
      <formula>$I$2</formula>
    </cfRule>
  </conditionalFormatting>
  <conditionalFormatting sqref="T433">
    <cfRule type="cellIs" dxfId="164" priority="165" operator="greaterThan">
      <formula>$I$2</formula>
    </cfRule>
  </conditionalFormatting>
  <conditionalFormatting sqref="T438">
    <cfRule type="cellIs" dxfId="163" priority="164" operator="greaterThan">
      <formula>$I$2</formula>
    </cfRule>
  </conditionalFormatting>
  <conditionalFormatting sqref="T443">
    <cfRule type="cellIs" dxfId="162" priority="163" operator="greaterThan">
      <formula>$I$2</formula>
    </cfRule>
  </conditionalFormatting>
  <conditionalFormatting sqref="T448">
    <cfRule type="cellIs" dxfId="161" priority="162" operator="greaterThan">
      <formula>$I$2</formula>
    </cfRule>
  </conditionalFormatting>
  <conditionalFormatting sqref="T453">
    <cfRule type="cellIs" dxfId="160" priority="161" operator="greaterThan">
      <formula>$I$2</formula>
    </cfRule>
  </conditionalFormatting>
  <conditionalFormatting sqref="T458">
    <cfRule type="cellIs" dxfId="159" priority="160" operator="greaterThan">
      <formula>$I$2</formula>
    </cfRule>
  </conditionalFormatting>
  <conditionalFormatting sqref="T463">
    <cfRule type="cellIs" dxfId="158" priority="159" operator="greaterThan">
      <formula>$I$2</formula>
    </cfRule>
  </conditionalFormatting>
  <conditionalFormatting sqref="T468">
    <cfRule type="cellIs" dxfId="157" priority="158" operator="greaterThan">
      <formula>$I$2</formula>
    </cfRule>
  </conditionalFormatting>
  <conditionalFormatting sqref="T473">
    <cfRule type="cellIs" dxfId="156" priority="157" operator="greaterThan">
      <formula>$I$2</formula>
    </cfRule>
  </conditionalFormatting>
  <conditionalFormatting sqref="T478">
    <cfRule type="cellIs" dxfId="155" priority="156" operator="greaterThan">
      <formula>$I$2</formula>
    </cfRule>
  </conditionalFormatting>
  <conditionalFormatting sqref="T483">
    <cfRule type="cellIs" dxfId="154" priority="155" operator="greaterThan">
      <formula>$I$2</formula>
    </cfRule>
  </conditionalFormatting>
  <conditionalFormatting sqref="T488">
    <cfRule type="cellIs" dxfId="153" priority="154" operator="greaterThan">
      <formula>$I$2</formula>
    </cfRule>
  </conditionalFormatting>
  <conditionalFormatting sqref="T493">
    <cfRule type="cellIs" dxfId="152" priority="153" operator="greaterThan">
      <formula>$I$2</formula>
    </cfRule>
  </conditionalFormatting>
  <conditionalFormatting sqref="T498">
    <cfRule type="cellIs" dxfId="151" priority="152" operator="greaterThan">
      <formula>$I$2</formula>
    </cfRule>
  </conditionalFormatting>
  <conditionalFormatting sqref="T503">
    <cfRule type="cellIs" dxfId="150" priority="151" operator="greaterThan">
      <formula>$I$2</formula>
    </cfRule>
  </conditionalFormatting>
  <conditionalFormatting sqref="T508">
    <cfRule type="cellIs" dxfId="149" priority="150" operator="greaterThan">
      <formula>$I$2</formula>
    </cfRule>
  </conditionalFormatting>
  <conditionalFormatting sqref="T513">
    <cfRule type="cellIs" dxfId="148" priority="149" operator="greaterThan">
      <formula>$I$2</formula>
    </cfRule>
  </conditionalFormatting>
  <conditionalFormatting sqref="T518">
    <cfRule type="cellIs" dxfId="147" priority="148" operator="greaterThan">
      <formula>$I$2</formula>
    </cfRule>
  </conditionalFormatting>
  <conditionalFormatting sqref="T523">
    <cfRule type="cellIs" dxfId="146" priority="147" operator="greaterThan">
      <formula>$I$2</formula>
    </cfRule>
  </conditionalFormatting>
  <conditionalFormatting sqref="T528">
    <cfRule type="cellIs" dxfId="145" priority="146" operator="greaterThan">
      <formula>$I$2</formula>
    </cfRule>
  </conditionalFormatting>
  <conditionalFormatting sqref="T533">
    <cfRule type="cellIs" dxfId="144" priority="145" operator="greaterThan">
      <formula>$I$2</formula>
    </cfRule>
  </conditionalFormatting>
  <conditionalFormatting sqref="T538">
    <cfRule type="cellIs" dxfId="143" priority="144" operator="greaterThan">
      <formula>$I$2</formula>
    </cfRule>
  </conditionalFormatting>
  <conditionalFormatting sqref="T543">
    <cfRule type="cellIs" dxfId="142" priority="143" operator="greaterThan">
      <formula>$I$2</formula>
    </cfRule>
  </conditionalFormatting>
  <conditionalFormatting sqref="T548">
    <cfRule type="cellIs" dxfId="141" priority="142" operator="greaterThan">
      <formula>$I$2</formula>
    </cfRule>
  </conditionalFormatting>
  <conditionalFormatting sqref="T553">
    <cfRule type="cellIs" dxfId="140" priority="141" operator="greaterThan">
      <formula>$I$2</formula>
    </cfRule>
  </conditionalFormatting>
  <conditionalFormatting sqref="T558">
    <cfRule type="cellIs" dxfId="139" priority="140" operator="greaterThan">
      <formula>$I$2</formula>
    </cfRule>
  </conditionalFormatting>
  <conditionalFormatting sqref="T563">
    <cfRule type="cellIs" dxfId="138" priority="139" operator="greaterThan">
      <formula>$I$2</formula>
    </cfRule>
  </conditionalFormatting>
  <conditionalFormatting sqref="T568">
    <cfRule type="cellIs" dxfId="137" priority="138" operator="greaterThan">
      <formula>$I$2</formula>
    </cfRule>
  </conditionalFormatting>
  <conditionalFormatting sqref="T573">
    <cfRule type="cellIs" dxfId="136" priority="137" operator="greaterThan">
      <formula>$I$2</formula>
    </cfRule>
  </conditionalFormatting>
  <conditionalFormatting sqref="T578">
    <cfRule type="cellIs" dxfId="135" priority="136" operator="greaterThan">
      <formula>$I$2</formula>
    </cfRule>
  </conditionalFormatting>
  <conditionalFormatting sqref="T583">
    <cfRule type="cellIs" dxfId="134" priority="135" operator="greaterThan">
      <formula>$I$2</formula>
    </cfRule>
  </conditionalFormatting>
  <conditionalFormatting sqref="T588">
    <cfRule type="cellIs" dxfId="133" priority="134" operator="greaterThan">
      <formula>$I$2</formula>
    </cfRule>
  </conditionalFormatting>
  <conditionalFormatting sqref="T593">
    <cfRule type="cellIs" dxfId="132" priority="133" operator="greaterThan">
      <formula>$I$2</formula>
    </cfRule>
  </conditionalFormatting>
  <conditionalFormatting sqref="T598">
    <cfRule type="cellIs" dxfId="131" priority="132" operator="greaterThan">
      <formula>$I$2</formula>
    </cfRule>
  </conditionalFormatting>
  <conditionalFormatting sqref="T603">
    <cfRule type="cellIs" dxfId="130" priority="131" operator="greaterThan">
      <formula>$I$2</formula>
    </cfRule>
  </conditionalFormatting>
  <conditionalFormatting sqref="T608">
    <cfRule type="cellIs" dxfId="129" priority="130" operator="greaterThan">
      <formula>$I$2</formula>
    </cfRule>
  </conditionalFormatting>
  <conditionalFormatting sqref="T613">
    <cfRule type="cellIs" dxfId="128" priority="129" operator="greaterThan">
      <formula>$I$2</formula>
    </cfRule>
  </conditionalFormatting>
  <conditionalFormatting sqref="T618">
    <cfRule type="cellIs" dxfId="127" priority="128" operator="greaterThan">
      <formula>$I$2</formula>
    </cfRule>
  </conditionalFormatting>
  <conditionalFormatting sqref="T623">
    <cfRule type="cellIs" dxfId="126" priority="127" operator="greaterThan">
      <formula>$I$2</formula>
    </cfRule>
  </conditionalFormatting>
  <conditionalFormatting sqref="T628">
    <cfRule type="cellIs" dxfId="125" priority="126" operator="greaterThan">
      <formula>$I$2</formula>
    </cfRule>
  </conditionalFormatting>
  <conditionalFormatting sqref="T633">
    <cfRule type="cellIs" dxfId="124" priority="125" operator="greaterThan">
      <formula>$I$2</formula>
    </cfRule>
  </conditionalFormatting>
  <conditionalFormatting sqref="T638">
    <cfRule type="cellIs" dxfId="123" priority="124" operator="greaterThan">
      <formula>$I$2</formula>
    </cfRule>
  </conditionalFormatting>
  <conditionalFormatting sqref="T643">
    <cfRule type="cellIs" dxfId="122" priority="123" operator="greaterThan">
      <formula>$I$2</formula>
    </cfRule>
  </conditionalFormatting>
  <conditionalFormatting sqref="T648">
    <cfRule type="cellIs" dxfId="121" priority="122" operator="greaterThan">
      <formula>$I$2</formula>
    </cfRule>
  </conditionalFormatting>
  <conditionalFormatting sqref="T653">
    <cfRule type="cellIs" dxfId="120" priority="121" operator="greaterThan">
      <formula>$I$2</formula>
    </cfRule>
  </conditionalFormatting>
  <conditionalFormatting sqref="T658">
    <cfRule type="cellIs" dxfId="119" priority="120" operator="greaterThan">
      <formula>$I$2</formula>
    </cfRule>
  </conditionalFormatting>
  <conditionalFormatting sqref="T663">
    <cfRule type="cellIs" dxfId="118" priority="119" operator="greaterThan">
      <formula>$I$2</formula>
    </cfRule>
  </conditionalFormatting>
  <conditionalFormatting sqref="T668">
    <cfRule type="cellIs" dxfId="117" priority="118" operator="greaterThan">
      <formula>$I$2</formula>
    </cfRule>
  </conditionalFormatting>
  <conditionalFormatting sqref="T673">
    <cfRule type="cellIs" dxfId="116" priority="117" operator="greaterThan">
      <formula>$I$2</formula>
    </cfRule>
  </conditionalFormatting>
  <conditionalFormatting sqref="T678">
    <cfRule type="cellIs" dxfId="115" priority="116" operator="greaterThan">
      <formula>$I$2</formula>
    </cfRule>
  </conditionalFormatting>
  <conditionalFormatting sqref="T683">
    <cfRule type="cellIs" dxfId="114" priority="115" operator="greaterThan">
      <formula>$I$2</formula>
    </cfRule>
  </conditionalFormatting>
  <conditionalFormatting sqref="T688">
    <cfRule type="cellIs" dxfId="113" priority="114" operator="greaterThan">
      <formula>$I$2</formula>
    </cfRule>
  </conditionalFormatting>
  <conditionalFormatting sqref="T693">
    <cfRule type="cellIs" dxfId="112" priority="113" operator="greaterThan">
      <formula>$I$2</formula>
    </cfRule>
  </conditionalFormatting>
  <conditionalFormatting sqref="T698">
    <cfRule type="cellIs" dxfId="111" priority="112" operator="greaterThan">
      <formula>$I$2</formula>
    </cfRule>
  </conditionalFormatting>
  <conditionalFormatting sqref="T703">
    <cfRule type="cellIs" dxfId="110" priority="111" operator="greaterThan">
      <formula>$I$2</formula>
    </cfRule>
  </conditionalFormatting>
  <conditionalFormatting sqref="T708">
    <cfRule type="cellIs" dxfId="109" priority="110" operator="greaterThan">
      <formula>$I$2</formula>
    </cfRule>
  </conditionalFormatting>
  <conditionalFormatting sqref="T713">
    <cfRule type="cellIs" dxfId="108" priority="109" operator="greaterThan">
      <formula>$I$2</formula>
    </cfRule>
  </conditionalFormatting>
  <conditionalFormatting sqref="T718">
    <cfRule type="cellIs" dxfId="107" priority="108" operator="greaterThan">
      <formula>$I$2</formula>
    </cfRule>
  </conditionalFormatting>
  <conditionalFormatting sqref="T723">
    <cfRule type="cellIs" dxfId="106" priority="107" operator="greaterThan">
      <formula>$I$2</formula>
    </cfRule>
  </conditionalFormatting>
  <conditionalFormatting sqref="T728">
    <cfRule type="cellIs" dxfId="105" priority="106" operator="greaterThan">
      <formula>$I$2</formula>
    </cfRule>
  </conditionalFormatting>
  <conditionalFormatting sqref="T733">
    <cfRule type="cellIs" dxfId="104" priority="105" operator="greaterThan">
      <formula>$I$2</formula>
    </cfRule>
  </conditionalFormatting>
  <conditionalFormatting sqref="T738">
    <cfRule type="cellIs" dxfId="103" priority="104" operator="greaterThan">
      <formula>$I$2</formula>
    </cfRule>
  </conditionalFormatting>
  <conditionalFormatting sqref="T743">
    <cfRule type="cellIs" dxfId="102" priority="103" operator="greaterThan">
      <formula>$I$2</formula>
    </cfRule>
  </conditionalFormatting>
  <conditionalFormatting sqref="T748">
    <cfRule type="cellIs" dxfId="101" priority="102" operator="greaterThan">
      <formula>$I$2</formula>
    </cfRule>
  </conditionalFormatting>
  <conditionalFormatting sqref="T753">
    <cfRule type="cellIs" dxfId="100" priority="101" operator="greaterThan">
      <formula>$I$2</formula>
    </cfRule>
  </conditionalFormatting>
  <conditionalFormatting sqref="T758">
    <cfRule type="cellIs" dxfId="99" priority="100" operator="greaterThan">
      <formula>$I$2</formula>
    </cfRule>
  </conditionalFormatting>
  <conditionalFormatting sqref="T763">
    <cfRule type="cellIs" dxfId="98" priority="99" operator="greaterThan">
      <formula>$I$2</formula>
    </cfRule>
  </conditionalFormatting>
  <conditionalFormatting sqref="T768">
    <cfRule type="cellIs" dxfId="97" priority="98" operator="greaterThan">
      <formula>$I$2</formula>
    </cfRule>
  </conditionalFormatting>
  <conditionalFormatting sqref="T773">
    <cfRule type="cellIs" dxfId="96" priority="97" operator="greaterThan">
      <formula>$I$2</formula>
    </cfRule>
  </conditionalFormatting>
  <conditionalFormatting sqref="T778">
    <cfRule type="cellIs" dxfId="95" priority="96" operator="greaterThan">
      <formula>$I$2</formula>
    </cfRule>
  </conditionalFormatting>
  <conditionalFormatting sqref="T783">
    <cfRule type="cellIs" dxfId="94" priority="95" operator="greaterThan">
      <formula>$I$2</formula>
    </cfRule>
  </conditionalFormatting>
  <conditionalFormatting sqref="T788">
    <cfRule type="cellIs" dxfId="93" priority="94" operator="greaterThan">
      <formula>$I$2</formula>
    </cfRule>
  </conditionalFormatting>
  <conditionalFormatting sqref="T793">
    <cfRule type="cellIs" dxfId="92" priority="93" operator="greaterThan">
      <formula>$I$2</formula>
    </cfRule>
  </conditionalFormatting>
  <conditionalFormatting sqref="T798">
    <cfRule type="cellIs" dxfId="91" priority="92" operator="greaterThan">
      <formula>$I$2</formula>
    </cfRule>
  </conditionalFormatting>
  <conditionalFormatting sqref="T803">
    <cfRule type="cellIs" dxfId="90" priority="91" operator="greaterThan">
      <formula>$I$2</formula>
    </cfRule>
  </conditionalFormatting>
  <conditionalFormatting sqref="T808">
    <cfRule type="cellIs" dxfId="89" priority="90" operator="greaterThan">
      <formula>$I$2</formula>
    </cfRule>
  </conditionalFormatting>
  <conditionalFormatting sqref="T813">
    <cfRule type="cellIs" dxfId="88" priority="89" operator="greaterThan">
      <formula>$I$2</formula>
    </cfRule>
  </conditionalFormatting>
  <conditionalFormatting sqref="T818">
    <cfRule type="cellIs" dxfId="87" priority="88" operator="greaterThan">
      <formula>$I$2</formula>
    </cfRule>
  </conditionalFormatting>
  <conditionalFormatting sqref="T823">
    <cfRule type="cellIs" dxfId="86" priority="87" operator="greaterThan">
      <formula>$I$2</formula>
    </cfRule>
  </conditionalFormatting>
  <conditionalFormatting sqref="T828">
    <cfRule type="cellIs" dxfId="85" priority="86" operator="greaterThan">
      <formula>$I$2</formula>
    </cfRule>
  </conditionalFormatting>
  <conditionalFormatting sqref="T833">
    <cfRule type="cellIs" dxfId="84" priority="85" operator="greaterThan">
      <formula>$I$2</formula>
    </cfRule>
  </conditionalFormatting>
  <conditionalFormatting sqref="T838">
    <cfRule type="cellIs" dxfId="83" priority="84" operator="greaterThan">
      <formula>$I$2</formula>
    </cfRule>
  </conditionalFormatting>
  <conditionalFormatting sqref="T843">
    <cfRule type="cellIs" dxfId="82" priority="83" operator="greaterThan">
      <formula>$I$2</formula>
    </cfRule>
  </conditionalFormatting>
  <conditionalFormatting sqref="T848">
    <cfRule type="cellIs" dxfId="81" priority="82" operator="greaterThan">
      <formula>$I$2</formula>
    </cfRule>
  </conditionalFormatting>
  <conditionalFormatting sqref="T853">
    <cfRule type="cellIs" dxfId="80" priority="81" operator="greaterThan">
      <formula>$I$2</formula>
    </cfRule>
  </conditionalFormatting>
  <conditionalFormatting sqref="T858">
    <cfRule type="cellIs" dxfId="79" priority="80" operator="greaterThan">
      <formula>$I$2</formula>
    </cfRule>
  </conditionalFormatting>
  <conditionalFormatting sqref="T863">
    <cfRule type="cellIs" dxfId="78" priority="79" operator="greaterThan">
      <formula>$I$2</formula>
    </cfRule>
  </conditionalFormatting>
  <conditionalFormatting sqref="T868">
    <cfRule type="cellIs" dxfId="77" priority="78" operator="greaterThan">
      <formula>$I$2</formula>
    </cfRule>
  </conditionalFormatting>
  <conditionalFormatting sqref="T873">
    <cfRule type="cellIs" dxfId="76" priority="77" operator="greaterThan">
      <formula>$I$2</formula>
    </cfRule>
  </conditionalFormatting>
  <conditionalFormatting sqref="T878">
    <cfRule type="cellIs" dxfId="75" priority="76" operator="greaterThan">
      <formula>$I$2</formula>
    </cfRule>
  </conditionalFormatting>
  <conditionalFormatting sqref="T883">
    <cfRule type="cellIs" dxfId="74" priority="75" operator="greaterThan">
      <formula>$I$2</formula>
    </cfRule>
  </conditionalFormatting>
  <conditionalFormatting sqref="T888">
    <cfRule type="cellIs" dxfId="73" priority="74" operator="greaterThan">
      <formula>$I$2</formula>
    </cfRule>
  </conditionalFormatting>
  <conditionalFormatting sqref="T893">
    <cfRule type="cellIs" dxfId="72" priority="73" operator="greaterThan">
      <formula>$I$2</formula>
    </cfRule>
  </conditionalFormatting>
  <conditionalFormatting sqref="T898">
    <cfRule type="cellIs" dxfId="71" priority="72" operator="greaterThan">
      <formula>$I$2</formula>
    </cfRule>
  </conditionalFormatting>
  <conditionalFormatting sqref="T903">
    <cfRule type="cellIs" dxfId="70" priority="71" operator="greaterThan">
      <formula>$I$2</formula>
    </cfRule>
  </conditionalFormatting>
  <conditionalFormatting sqref="T908">
    <cfRule type="cellIs" dxfId="69" priority="70" operator="greaterThan">
      <formula>$I$2</formula>
    </cfRule>
  </conditionalFormatting>
  <conditionalFormatting sqref="T913">
    <cfRule type="cellIs" dxfId="68" priority="69" operator="greaterThan">
      <formula>$I$2</formula>
    </cfRule>
  </conditionalFormatting>
  <conditionalFormatting sqref="T918">
    <cfRule type="cellIs" dxfId="67" priority="68" operator="greaterThan">
      <formula>$I$2</formula>
    </cfRule>
  </conditionalFormatting>
  <conditionalFormatting sqref="T923">
    <cfRule type="cellIs" dxfId="66" priority="67" operator="greaterThan">
      <formula>$I$2</formula>
    </cfRule>
  </conditionalFormatting>
  <conditionalFormatting sqref="T928">
    <cfRule type="cellIs" dxfId="65" priority="66" operator="greaterThan">
      <formula>$I$2</formula>
    </cfRule>
  </conditionalFormatting>
  <conditionalFormatting sqref="T933">
    <cfRule type="cellIs" dxfId="64" priority="65" operator="greaterThan">
      <formula>$I$2</formula>
    </cfRule>
  </conditionalFormatting>
  <conditionalFormatting sqref="T938">
    <cfRule type="cellIs" dxfId="63" priority="64" operator="greaterThan">
      <formula>$I$2</formula>
    </cfRule>
  </conditionalFormatting>
  <conditionalFormatting sqref="T943">
    <cfRule type="cellIs" dxfId="62" priority="63" operator="greaterThan">
      <formula>$I$2</formula>
    </cfRule>
  </conditionalFormatting>
  <conditionalFormatting sqref="T948">
    <cfRule type="cellIs" dxfId="61" priority="62" operator="greaterThan">
      <formula>$I$2</formula>
    </cfRule>
  </conditionalFormatting>
  <conditionalFormatting sqref="T953">
    <cfRule type="cellIs" dxfId="60" priority="61" operator="greaterThan">
      <formula>$I$2</formula>
    </cfRule>
  </conditionalFormatting>
  <conditionalFormatting sqref="T958">
    <cfRule type="cellIs" dxfId="59" priority="60" operator="greaterThan">
      <formula>$I$2</formula>
    </cfRule>
  </conditionalFormatting>
  <conditionalFormatting sqref="T963">
    <cfRule type="cellIs" dxfId="58" priority="59" operator="greaterThan">
      <formula>$I$2</formula>
    </cfRule>
  </conditionalFormatting>
  <conditionalFormatting sqref="T968">
    <cfRule type="cellIs" dxfId="57" priority="58" operator="greaterThan">
      <formula>$I$2</formula>
    </cfRule>
  </conditionalFormatting>
  <conditionalFormatting sqref="T973">
    <cfRule type="cellIs" dxfId="56" priority="57" operator="greaterThan">
      <formula>$I$2</formula>
    </cfRule>
  </conditionalFormatting>
  <conditionalFormatting sqref="T978">
    <cfRule type="cellIs" dxfId="55" priority="56" operator="greaterThan">
      <formula>$I$2</formula>
    </cfRule>
  </conditionalFormatting>
  <conditionalFormatting sqref="T983">
    <cfRule type="cellIs" dxfId="54" priority="55" operator="greaterThan">
      <formula>$I$2</formula>
    </cfRule>
  </conditionalFormatting>
  <conditionalFormatting sqref="T988">
    <cfRule type="cellIs" dxfId="53" priority="54" operator="greaterThan">
      <formula>$I$2</formula>
    </cfRule>
  </conditionalFormatting>
  <conditionalFormatting sqref="T993">
    <cfRule type="cellIs" dxfId="52" priority="53" operator="greaterThan">
      <formula>$I$2</formula>
    </cfRule>
  </conditionalFormatting>
  <conditionalFormatting sqref="T998">
    <cfRule type="cellIs" dxfId="51" priority="52" operator="greaterThan">
      <formula>$I$2</formula>
    </cfRule>
  </conditionalFormatting>
  <conditionalFormatting sqref="T1003">
    <cfRule type="cellIs" dxfId="50" priority="51" operator="greaterThan">
      <formula>$I$2</formula>
    </cfRule>
  </conditionalFormatting>
  <conditionalFormatting sqref="T1008">
    <cfRule type="cellIs" dxfId="49" priority="50" operator="greaterThan">
      <formula>$I$2</formula>
    </cfRule>
  </conditionalFormatting>
  <conditionalFormatting sqref="T1013">
    <cfRule type="cellIs" dxfId="48" priority="49" operator="greaterThan">
      <formula>$I$2</formula>
    </cfRule>
  </conditionalFormatting>
  <conditionalFormatting sqref="T1018">
    <cfRule type="cellIs" dxfId="47" priority="48" operator="greaterThan">
      <formula>$I$2</formula>
    </cfRule>
  </conditionalFormatting>
  <conditionalFormatting sqref="T1023">
    <cfRule type="cellIs" dxfId="46" priority="47" operator="greaterThan">
      <formula>$I$2</formula>
    </cfRule>
  </conditionalFormatting>
  <conditionalFormatting sqref="T1028">
    <cfRule type="cellIs" dxfId="45" priority="46" operator="greaterThan">
      <formula>$I$2</formula>
    </cfRule>
  </conditionalFormatting>
  <conditionalFormatting sqref="T1033">
    <cfRule type="cellIs" dxfId="44" priority="45" operator="greaterThan">
      <formula>$I$2</formula>
    </cfRule>
  </conditionalFormatting>
  <conditionalFormatting sqref="T1038">
    <cfRule type="cellIs" dxfId="43" priority="44" operator="greaterThan">
      <formula>$I$2</formula>
    </cfRule>
  </conditionalFormatting>
  <conditionalFormatting sqref="T1043">
    <cfRule type="cellIs" dxfId="42" priority="43" operator="greaterThan">
      <formula>$I$2</formula>
    </cfRule>
  </conditionalFormatting>
  <conditionalFormatting sqref="T1048">
    <cfRule type="cellIs" dxfId="41" priority="42" operator="greaterThan">
      <formula>$I$2</formula>
    </cfRule>
  </conditionalFormatting>
  <conditionalFormatting sqref="T1053">
    <cfRule type="cellIs" dxfId="40" priority="41" operator="greaterThan">
      <formula>$I$2</formula>
    </cfRule>
  </conditionalFormatting>
  <conditionalFormatting sqref="T1058">
    <cfRule type="cellIs" dxfId="39" priority="40" operator="greaterThan">
      <formula>$I$2</formula>
    </cfRule>
  </conditionalFormatting>
  <conditionalFormatting sqref="T1063">
    <cfRule type="cellIs" dxfId="38" priority="39" operator="greaterThan">
      <formula>$I$2</formula>
    </cfRule>
  </conditionalFormatting>
  <conditionalFormatting sqref="T1068">
    <cfRule type="cellIs" dxfId="37" priority="38" operator="greaterThan">
      <formula>$I$2</formula>
    </cfRule>
  </conditionalFormatting>
  <conditionalFormatting sqref="T1073">
    <cfRule type="cellIs" dxfId="36" priority="37" operator="greaterThan">
      <formula>$I$2</formula>
    </cfRule>
  </conditionalFormatting>
  <conditionalFormatting sqref="T1078">
    <cfRule type="cellIs" dxfId="35" priority="36" operator="greaterThan">
      <formula>$I$2</formula>
    </cfRule>
  </conditionalFormatting>
  <conditionalFormatting sqref="T1083">
    <cfRule type="cellIs" dxfId="34" priority="35" operator="greaterThan">
      <formula>$I$2</formula>
    </cfRule>
  </conditionalFormatting>
  <conditionalFormatting sqref="T1088">
    <cfRule type="cellIs" dxfId="33" priority="34" operator="greaterThan">
      <formula>$I$2</formula>
    </cfRule>
  </conditionalFormatting>
  <conditionalFormatting sqref="T1093">
    <cfRule type="cellIs" dxfId="32" priority="33" operator="greaterThan">
      <formula>$I$2</formula>
    </cfRule>
  </conditionalFormatting>
  <conditionalFormatting sqref="T1098">
    <cfRule type="cellIs" dxfId="31" priority="32" operator="greaterThan">
      <formula>$I$2</formula>
    </cfRule>
  </conditionalFormatting>
  <conditionalFormatting sqref="T1103">
    <cfRule type="cellIs" dxfId="30" priority="31" operator="greaterThan">
      <formula>$I$2</formula>
    </cfRule>
  </conditionalFormatting>
  <conditionalFormatting sqref="T1108">
    <cfRule type="cellIs" dxfId="29" priority="30" operator="greaterThan">
      <formula>$I$2</formula>
    </cfRule>
  </conditionalFormatting>
  <conditionalFormatting sqref="T1113">
    <cfRule type="cellIs" dxfId="28" priority="29" operator="greaterThan">
      <formula>$I$2</formula>
    </cfRule>
  </conditionalFormatting>
  <conditionalFormatting sqref="T1118">
    <cfRule type="cellIs" dxfId="27" priority="28" operator="greaterThan">
      <formula>$I$2</formula>
    </cfRule>
  </conditionalFormatting>
  <conditionalFormatting sqref="T1123">
    <cfRule type="cellIs" dxfId="26" priority="27" operator="greaterThan">
      <formula>$I$2</formula>
    </cfRule>
  </conditionalFormatting>
  <conditionalFormatting sqref="T1128">
    <cfRule type="cellIs" dxfId="25" priority="26" operator="greaterThan">
      <formula>$I$2</formula>
    </cfRule>
  </conditionalFormatting>
  <conditionalFormatting sqref="T1133">
    <cfRule type="cellIs" dxfId="24" priority="25" operator="greaterThan">
      <formula>$I$2</formula>
    </cfRule>
  </conditionalFormatting>
  <conditionalFormatting sqref="T1138">
    <cfRule type="cellIs" dxfId="23" priority="24" operator="greaterThan">
      <formula>$I$2</formula>
    </cfRule>
  </conditionalFormatting>
  <conditionalFormatting sqref="T1143">
    <cfRule type="cellIs" dxfId="22" priority="23" operator="greaterThan">
      <formula>$I$2</formula>
    </cfRule>
  </conditionalFormatting>
  <conditionalFormatting sqref="T1148">
    <cfRule type="cellIs" dxfId="21" priority="22" operator="greaterThan">
      <formula>$I$2</formula>
    </cfRule>
  </conditionalFormatting>
  <conditionalFormatting sqref="T1153">
    <cfRule type="cellIs" dxfId="20" priority="21" operator="greaterThan">
      <formula>$I$2</formula>
    </cfRule>
  </conditionalFormatting>
  <conditionalFormatting sqref="T1158">
    <cfRule type="cellIs" dxfId="19" priority="20" operator="greaterThan">
      <formula>$I$2</formula>
    </cfRule>
  </conditionalFormatting>
  <conditionalFormatting sqref="T1163">
    <cfRule type="cellIs" dxfId="18" priority="19" operator="greaterThan">
      <formula>$I$2</formula>
    </cfRule>
  </conditionalFormatting>
  <conditionalFormatting sqref="T1168">
    <cfRule type="cellIs" dxfId="17" priority="18" operator="greaterThan">
      <formula>$I$2</formula>
    </cfRule>
  </conditionalFormatting>
  <conditionalFormatting sqref="T1173">
    <cfRule type="cellIs" dxfId="16" priority="17" operator="greaterThan">
      <formula>$I$2</formula>
    </cfRule>
  </conditionalFormatting>
  <conditionalFormatting sqref="T1178">
    <cfRule type="cellIs" dxfId="15" priority="16" operator="greaterThan">
      <formula>$I$2</formula>
    </cfRule>
  </conditionalFormatting>
  <conditionalFormatting sqref="T1183">
    <cfRule type="cellIs" dxfId="14" priority="15" operator="greaterThan">
      <formula>$I$2</formula>
    </cfRule>
  </conditionalFormatting>
  <conditionalFormatting sqref="T1188">
    <cfRule type="cellIs" dxfId="13" priority="14" operator="greaterThan">
      <formula>$I$2</formula>
    </cfRule>
  </conditionalFormatting>
  <conditionalFormatting sqref="T1193">
    <cfRule type="cellIs" dxfId="12" priority="13" operator="greaterThan">
      <formula>$I$2</formula>
    </cfRule>
  </conditionalFormatting>
  <conditionalFormatting sqref="T1198">
    <cfRule type="cellIs" dxfId="11" priority="12" operator="greaterThan">
      <formula>$I$2</formula>
    </cfRule>
  </conditionalFormatting>
  <conditionalFormatting sqref="T1203">
    <cfRule type="cellIs" dxfId="10" priority="11" operator="greaterThan">
      <formula>$I$2</formula>
    </cfRule>
  </conditionalFormatting>
  <conditionalFormatting sqref="T1208">
    <cfRule type="cellIs" dxfId="9" priority="10" operator="greaterThan">
      <formula>$I$2</formula>
    </cfRule>
  </conditionalFormatting>
  <conditionalFormatting sqref="T1213">
    <cfRule type="cellIs" dxfId="8" priority="9" operator="greaterThan">
      <formula>$I$2</formula>
    </cfRule>
  </conditionalFormatting>
  <conditionalFormatting sqref="T1218">
    <cfRule type="cellIs" dxfId="7" priority="8" operator="greaterThan">
      <formula>$I$2</formula>
    </cfRule>
  </conditionalFormatting>
  <conditionalFormatting sqref="T1223">
    <cfRule type="cellIs" dxfId="6" priority="7" operator="greaterThan">
      <formula>$I$2</formula>
    </cfRule>
  </conditionalFormatting>
  <conditionalFormatting sqref="T1228">
    <cfRule type="cellIs" dxfId="5" priority="6" operator="greaterThan">
      <formula>$I$2</formula>
    </cfRule>
  </conditionalFormatting>
  <conditionalFormatting sqref="T1233">
    <cfRule type="cellIs" dxfId="4" priority="5" operator="greaterThan">
      <formula>$I$2</formula>
    </cfRule>
  </conditionalFormatting>
  <conditionalFormatting sqref="T1238">
    <cfRule type="cellIs" dxfId="3" priority="4" operator="greaterThan">
      <formula>$I$2</formula>
    </cfRule>
  </conditionalFormatting>
  <conditionalFormatting sqref="T1243">
    <cfRule type="cellIs" dxfId="2" priority="3" operator="greaterThan">
      <formula>$I$2</formula>
    </cfRule>
  </conditionalFormatting>
  <conditionalFormatting sqref="T1248">
    <cfRule type="cellIs" dxfId="1" priority="2" operator="greaterThan">
      <formula>$I$2</formula>
    </cfRule>
  </conditionalFormatting>
  <conditionalFormatting sqref="T1253">
    <cfRule type="cellIs" dxfId="0" priority="1" operator="greaterThan">
      <formula>$I$2</formula>
    </cfRule>
  </conditionalFormatting>
  <pageMargins left="1" right="1" top="1" bottom="1" header="0.25" footer="0.25"/>
  <pageSetup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 2 - pkmndesc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Syuan</dc:creator>
  <cp:lastModifiedBy>Tom Choi</cp:lastModifiedBy>
  <dcterms:created xsi:type="dcterms:W3CDTF">2024-10-12T07:42:18Z</dcterms:created>
  <dcterms:modified xsi:type="dcterms:W3CDTF">2026-02-02T04:17:59Z</dcterms:modified>
</cp:coreProperties>
</file>